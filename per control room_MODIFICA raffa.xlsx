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volraf\Dropbox\Il mio PC (DESK-090)\Desktop\"/>
    </mc:Choice>
  </mc:AlternateContent>
  <xr:revisionPtr revIDLastSave="0" documentId="13_ncr:1_{4695A8A5-BC70-4490-B3CF-F25D857A775D}" xr6:coauthVersionLast="47" xr6:coauthVersionMax="47" xr10:uidLastSave="{00000000-0000-0000-0000-000000000000}"/>
  <bookViews>
    <workbookView xWindow="-120" yWindow="-120" windowWidth="29040" windowHeight="15720" tabRatio="500" xr2:uid="{43255A81-2082-436C-B2CB-B5C101BE15BC}"/>
  </bookViews>
  <sheets>
    <sheet name="Monitoraggio PNRR" sheetId="1" r:id="rId1"/>
    <sheet name="coordinate" sheetId="3" r:id="rId2"/>
  </sheets>
  <definedNames>
    <definedName name="__xlfn_IFERROR">#N/A</definedName>
    <definedName name="_xlnm._FilterDatabase" localSheetId="1" hidden="1">coordinate!$A$1:$L$80</definedName>
    <definedName name="_xlnm._FilterDatabase" localSheetId="0" hidden="1">'Monitoraggio PNRR'!$B:$U</definedName>
    <definedName name="_xlnm.Print_Area" localSheetId="0">'Monitoraggio PNRR'!$A$1:$U$131</definedName>
    <definedName name="Excel_BuiltIn__FilterDatabase" localSheetId="0">'Monitoraggio PNRR'!$B$1:$U$104</definedName>
    <definedName name="Excel_BuiltIn_Print_Area" localSheetId="0">'Monitoraggio PNRR'!$B$1:$U$47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8" i="1" l="1"/>
  <c r="O123" i="1"/>
  <c r="O118" i="1"/>
  <c r="U58" i="1"/>
  <c r="T58" i="1"/>
  <c r="Q58" i="1"/>
  <c r="P58" i="1"/>
  <c r="N58" i="1"/>
  <c r="O58" i="1" s="1"/>
  <c r="U61" i="1"/>
  <c r="T61" i="1"/>
  <c r="Q61" i="1"/>
  <c r="P61" i="1"/>
  <c r="N61" i="1"/>
  <c r="O61" i="1" s="1"/>
  <c r="U105" i="1"/>
  <c r="Q105" i="1"/>
  <c r="P105" i="1"/>
  <c r="N105" i="1"/>
  <c r="U108" i="1"/>
  <c r="T108" i="1"/>
  <c r="Q108" i="1"/>
  <c r="P108" i="1"/>
  <c r="N108" i="1"/>
  <c r="O108" i="1" s="1"/>
  <c r="U111" i="1"/>
  <c r="T111" i="1"/>
  <c r="Q111" i="1"/>
  <c r="P111" i="1"/>
  <c r="N111" i="1"/>
  <c r="U118" i="1"/>
  <c r="T118" i="1"/>
  <c r="Q118" i="1"/>
  <c r="P118" i="1"/>
  <c r="N118" i="1"/>
  <c r="U123" i="1"/>
  <c r="T123" i="1"/>
  <c r="Q123" i="1"/>
  <c r="P123" i="1"/>
  <c r="N123" i="1"/>
  <c r="U128" i="1"/>
  <c r="T128" i="1"/>
  <c r="Q128" i="1"/>
  <c r="P128" i="1"/>
  <c r="N128" i="1"/>
  <c r="O3" i="1"/>
  <c r="S3" i="1"/>
  <c r="O4" i="1"/>
  <c r="O5" i="1"/>
  <c r="O6" i="1"/>
  <c r="S6" i="1"/>
  <c r="O7" i="1"/>
  <c r="O8" i="1"/>
  <c r="O9" i="1"/>
  <c r="S9" i="1"/>
  <c r="O10" i="1"/>
  <c r="S10" i="1"/>
  <c r="O11" i="1"/>
  <c r="O12" i="1"/>
  <c r="O13" i="1"/>
  <c r="O14" i="1"/>
  <c r="S14" i="1"/>
  <c r="O15" i="1"/>
  <c r="O16" i="1"/>
  <c r="N17" i="1"/>
  <c r="P17" i="1"/>
  <c r="Q17" i="1"/>
  <c r="T17" i="1"/>
  <c r="U17" i="1"/>
  <c r="O19" i="1"/>
  <c r="O20" i="1"/>
  <c r="O21" i="1"/>
  <c r="O22" i="1"/>
  <c r="N23" i="1"/>
  <c r="P23" i="1"/>
  <c r="Q23" i="1"/>
  <c r="T23" i="1"/>
  <c r="U23" i="1"/>
  <c r="O25" i="1"/>
  <c r="S25" i="1"/>
  <c r="O26" i="1"/>
  <c r="S26" i="1"/>
  <c r="O27" i="1"/>
  <c r="S27" i="1"/>
  <c r="O28" i="1"/>
  <c r="O29" i="1"/>
  <c r="O30" i="1"/>
  <c r="S30" i="1"/>
  <c r="O31" i="1"/>
  <c r="S31" i="1"/>
  <c r="O32" i="1"/>
  <c r="S32" i="1"/>
  <c r="O33" i="1"/>
  <c r="O34" i="1"/>
  <c r="S34" i="1"/>
  <c r="O35" i="1"/>
  <c r="S35" i="1"/>
  <c r="O36" i="1"/>
  <c r="S36" i="1"/>
  <c r="O37" i="1"/>
  <c r="N38" i="1"/>
  <c r="P38" i="1"/>
  <c r="Q38" i="1"/>
  <c r="T38" i="1"/>
  <c r="U38" i="1"/>
  <c r="O40" i="1"/>
  <c r="S40" i="1"/>
  <c r="O41" i="1"/>
  <c r="S41" i="1"/>
  <c r="N42" i="1"/>
  <c r="P42" i="1"/>
  <c r="Q42" i="1"/>
  <c r="T42" i="1"/>
  <c r="U42" i="1"/>
  <c r="O44" i="1"/>
  <c r="S44" i="1"/>
  <c r="O45" i="1"/>
  <c r="S45" i="1"/>
  <c r="O46" i="1"/>
  <c r="N47" i="1"/>
  <c r="P47" i="1"/>
  <c r="Q47" i="1"/>
  <c r="T47" i="1"/>
  <c r="U47" i="1"/>
  <c r="O49" i="1"/>
  <c r="S49" i="1"/>
  <c r="O50" i="1"/>
  <c r="O51" i="1"/>
  <c r="S51" i="1"/>
  <c r="O52" i="1"/>
  <c r="O53" i="1"/>
  <c r="N54" i="1"/>
  <c r="P54" i="1"/>
  <c r="Q54" i="1"/>
  <c r="T54" i="1"/>
  <c r="U54" i="1"/>
  <c r="O56" i="1"/>
  <c r="O60" i="1"/>
  <c r="S60" i="1"/>
  <c r="O63" i="1"/>
  <c r="S63" i="1"/>
  <c r="O64" i="1"/>
  <c r="S64" i="1"/>
  <c r="N65" i="1"/>
  <c r="P65" i="1"/>
  <c r="Q65" i="1"/>
  <c r="T65" i="1"/>
  <c r="U65" i="1"/>
  <c r="O67" i="1"/>
  <c r="O68" i="1"/>
  <c r="S68" i="1"/>
  <c r="O69" i="1"/>
  <c r="O70" i="1"/>
  <c r="O71" i="1"/>
  <c r="S71" i="1"/>
  <c r="O72" i="1"/>
  <c r="S72" i="1"/>
  <c r="O73" i="1"/>
  <c r="S73" i="1"/>
  <c r="O74" i="1"/>
  <c r="O75" i="1"/>
  <c r="N76" i="1"/>
  <c r="O76" i="1"/>
  <c r="P76" i="1"/>
  <c r="Q76" i="1"/>
  <c r="R76" i="1"/>
  <c r="S76" i="1"/>
  <c r="T76" i="1"/>
  <c r="U76" i="1"/>
  <c r="O78" i="1"/>
  <c r="O79" i="1"/>
  <c r="O80" i="1"/>
  <c r="O81" i="1"/>
  <c r="O82" i="1"/>
  <c r="O83" i="1"/>
  <c r="N84" i="1"/>
  <c r="P84" i="1"/>
  <c r="Q84" i="1"/>
  <c r="T84" i="1"/>
  <c r="U84" i="1"/>
  <c r="O86" i="1"/>
  <c r="T86" i="1"/>
  <c r="O87" i="1"/>
  <c r="T87" i="1"/>
  <c r="O88" i="1"/>
  <c r="T88" i="1"/>
  <c r="O89" i="1"/>
  <c r="T89" i="1"/>
  <c r="O90" i="1"/>
  <c r="T90" i="1"/>
  <c r="O91" i="1"/>
  <c r="O92" i="1"/>
  <c r="O93" i="1"/>
  <c r="O94" i="1"/>
  <c r="O95" i="1"/>
  <c r="T95" i="1"/>
  <c r="O97" i="1"/>
  <c r="O98" i="1"/>
  <c r="O99" i="1"/>
  <c r="O104" i="1"/>
  <c r="O111" i="1" l="1"/>
  <c r="O105" i="1"/>
  <c r="U129" i="1"/>
  <c r="Q129" i="1"/>
  <c r="P129" i="1"/>
  <c r="N129" i="1"/>
  <c r="T105" i="1"/>
  <c r="T129" i="1" s="1"/>
  <c r="O17" i="1"/>
  <c r="O54" i="1"/>
  <c r="O65" i="1"/>
  <c r="O84" i="1"/>
  <c r="O42" i="1"/>
  <c r="O23" i="1"/>
  <c r="O38" i="1"/>
  <c r="O47" i="1"/>
  <c r="O12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Raffaele Davolio</author>
    <author>OpenAI</author>
  </authors>
  <commentList>
    <comment ref="J3" authorId="0" shapeId="0" xr:uid="{9A2A8467-D622-4F32-A295-EC4DADA26B5C}">
      <text>
        <r>
          <rPr>
            <sz val="10"/>
            <rFont val="Arial"/>
            <family val="2"/>
          </rPr>
          <t>Raffaele Davolio:
Source: italiamappe.it, https://www.italiamappe.it/stradario/reggio-nell'emilia/via-giuseppe-galliano/</t>
        </r>
      </text>
    </comment>
    <comment ref="K3" authorId="0" shapeId="0" xr:uid="{AED843F0-77CD-4A5A-899E-8AB1A1A6C74A}">
      <text>
        <r>
          <rPr>
            <sz val="10"/>
            <rFont val="Arial"/>
            <family val="2"/>
          </rPr>
          <t>Raffaele Davolio:
Source: italiamappe.it, https://www.italiamappe.it/stradario/reggio-nell'emilia/via-giuseppe-galliano/</t>
        </r>
      </text>
    </comment>
    <comment ref="J4" authorId="0" shapeId="0" xr:uid="{2755C1D4-563B-459E-A3B6-009D64699EDD}">
      <text>
        <r>
          <rPr>
            <sz val="10"/>
            <rFont val="Arial"/>
            <family val="2"/>
          </rPr>
          <t>Raffaele Davolio:
Source: italiamappe.it, https://www.italiamappe.it/stradario/reggio-nell'emilia/via-dante-alighieri/</t>
        </r>
      </text>
    </comment>
    <comment ref="K4" authorId="0" shapeId="0" xr:uid="{F3A02992-96E5-4697-B07C-7107B2A3E9C5}">
      <text>
        <r>
          <rPr>
            <sz val="10"/>
            <rFont val="Arial"/>
            <family val="2"/>
          </rPr>
          <t>Raffaele Davolio:
Source: italiamappe.it, https://www.italiamappe.it/stradario/reggio-nell'emilia/via-dante-alighieri/</t>
        </r>
      </text>
    </comment>
    <comment ref="J5" authorId="0" shapeId="0" xr:uid="{0AABEE2C-B6BF-4E5B-884D-4D9D61B63016}">
      <text>
        <r>
          <rPr>
            <sz val="10"/>
            <rFont val="Arial"/>
            <family val="2"/>
          </rPr>
          <t>Raffaele Davolio:
Source: nuove-strade.it, https://www.nuove-strade.it/emilia-romagna/reggio-nellemilia/via-jules-emile-massenet</t>
        </r>
      </text>
    </comment>
    <comment ref="K5" authorId="0" shapeId="0" xr:uid="{8F49857A-2A05-4D39-9BCF-B1288AB52B0B}">
      <text>
        <r>
          <rPr>
            <sz val="10"/>
            <rFont val="Arial"/>
            <family val="2"/>
          </rPr>
          <t>Raffaele Davolio:
Source: nuove-strade.it, https://www.nuove-strade.it/emilia-romagna/reggio-nellemilia/via-jules-emile-massenet</t>
        </r>
      </text>
    </comment>
    <comment ref="J6" authorId="0" shapeId="0" xr:uid="{169ACCA0-6877-4AFA-8428-B7A3E32B2BDC}">
      <text>
        <r>
          <rPr>
            <sz val="10"/>
            <rFont val="Arial"/>
            <family val="2"/>
          </rPr>
          <t>Raffaele Davolio:
Source: italiamappe.it, https://www.italiamappe.it/stradario/reggio-nell'emilia/via-dante-alighieri/</t>
        </r>
      </text>
    </comment>
    <comment ref="K6" authorId="0" shapeId="0" xr:uid="{3FDBF99D-2BBB-47EC-AA9F-D509507FE5A4}">
      <text>
        <r>
          <rPr>
            <sz val="10"/>
            <rFont val="Arial"/>
            <family val="2"/>
          </rPr>
          <t>Raffaele Davolio:
Source: italiamappe.it, https://www.italiamappe.it/stradario/reggio-nell'emilia/via-dante-alighieri/</t>
        </r>
      </text>
    </comment>
    <comment ref="J7" authorId="1" shapeId="0" xr:uid="{CA6A8D35-CFF2-42FB-B28A-41EF76F30EE8}">
      <text>
        <r>
          <rPr>
            <sz val="10"/>
            <rFont val="Arial"/>
            <family val="2"/>
          </rPr>
          <t>Geolocalizzazione integrata. Tipo: Puntuale/area parco. Affidabilita: ALTA. Fonte/criterio: Centro rappresentativo Parco del Gelso; localizzazione coerente con area di progetto. Punto nel Parco del Gelso; intervento su area verde, non singolo edificio. URL: https://www.zampaconnect.com/area-cani/reggio-emilia/parco_del_gelso_42124_reggio_nellemilia_re</t>
        </r>
      </text>
    </comment>
    <comment ref="K7" authorId="1" shapeId="0" xr:uid="{B17FC5F4-6EE1-4C01-9C66-FB003C2007C8}">
      <text>
        <r>
          <rPr>
            <sz val="10"/>
            <rFont val="Arial"/>
            <family val="2"/>
          </rPr>
          <t>Geolocalizzazione integrata. Tipo: Puntuale/area parco. Affidabilita: ALTA. Fonte/criterio: Centro rappresentativo Parco del Gelso; localizzazione coerente con area di progetto. Punto nel Parco del Gelso; intervento su area verde, non singolo edificio. URL: https://www.zampaconnect.com/area-cani/reggio-emilia/parco_del_gelso_42124_reggio_nellemilia_re</t>
        </r>
      </text>
    </comment>
    <comment ref="J8" authorId="0" shapeId="0" xr:uid="{1C622E4B-2FBE-4957-A680-EB59552326B3}">
      <text>
        <r>
          <rPr>
            <sz val="10"/>
            <rFont val="Arial"/>
            <family val="2"/>
          </rPr>
          <t>Raffaele Davolio:
Source: italiamappe.it, https://www.italiamappe.it/stradario/reggio-nell'emilia/viale-isonzo/</t>
        </r>
      </text>
    </comment>
    <comment ref="K8" authorId="0" shapeId="0" xr:uid="{1C947562-63BD-4FC9-9F38-C54C812E0834}">
      <text>
        <r>
          <rPr>
            <sz val="10"/>
            <rFont val="Arial"/>
            <family val="2"/>
          </rPr>
          <t>Raffaele Davolio:
Source: italiamappe.it, https://www.italiamappe.it/stradario/reggio-nell'emilia/viale-isonzo/</t>
        </r>
      </text>
    </comment>
    <comment ref="J9" authorId="0" shapeId="0" xr:uid="{2164E0FB-F4E1-435A-80E6-2B1D89522893}">
      <text>
        <r>
          <rPr>
            <sz val="10"/>
            <rFont val="Arial"/>
            <family val="2"/>
          </rPr>
          <t>Raffaele Davolio:
Source: italiamappe.it, https://www.italiamappe.it/stradario/reggio-nell'emilia/via-roma/</t>
        </r>
      </text>
    </comment>
    <comment ref="K9" authorId="0" shapeId="0" xr:uid="{EBAA0BF6-7EFD-477E-A96D-80042279A9ED}">
      <text>
        <r>
          <rPr>
            <sz val="10"/>
            <rFont val="Arial"/>
            <family val="2"/>
          </rPr>
          <t>Raffaele Davolio:
Source: italiamappe.it, https://www.italiamappe.it/stradario/reggio-nell'emilia/via-roma/</t>
        </r>
      </text>
    </comment>
    <comment ref="J10" authorId="1" shapeId="0" xr:uid="{F9C8BB26-EA92-4A28-9ED1-6502FF317200}">
      <text>
        <r>
          <rPr>
            <sz val="10"/>
            <rFont val="Arial"/>
            <family val="2"/>
          </rPr>
          <t>Geolocalizzazione integrata. Tipo: Puntuale. Affidabilita: ALTA. Fonte/criterio: Piazzale Reverberi / ex Polveriera. Punto rappresentativo del Piazzale Reverberi/Bicilab. URL: https://www.openstreetmap.org/search?query=Piazzale%20Reverberi%20Reggio%20Emilia</t>
        </r>
      </text>
    </comment>
    <comment ref="K10" authorId="1" shapeId="0" xr:uid="{5595D34F-942A-4280-BF14-376A02DD4A4F}">
      <text>
        <r>
          <rPr>
            <sz val="10"/>
            <rFont val="Arial"/>
            <family val="2"/>
          </rPr>
          <t>Geolocalizzazione integrata. Tipo: Puntuale. Affidabilita: ALTA. Fonte/criterio: Piazzale Reverberi / ex Polveriera. Punto rappresentativo del Piazzale Reverberi/Bicilab. URL: https://www.openstreetmap.org/search?query=Piazzale%20Reverberi%20Reggio%20Emilia</t>
        </r>
      </text>
    </comment>
    <comment ref="J11" authorId="1" shapeId="0" xr:uid="{CC5B376B-68E6-4478-B1A8-748A432D1B81}">
      <text>
        <r>
          <rPr>
            <sz val="10"/>
            <rFont val="Arial"/>
            <family val="2"/>
          </rPr>
          <t>Geolocalizzazione integrata. Tipo: Puntuale. Affidabilita: ALTA. Fonte/criterio: Ponte/passarella del Gattaglio sul Crostolo. Coordinate del ponte/passerella in area Gattaglio. URL: https://mapcarta.com/search?q=Ponte%20del%20Gattaglio%20Reggio%20Emilia</t>
        </r>
      </text>
    </comment>
    <comment ref="K11" authorId="1" shapeId="0" xr:uid="{05247EA6-9E30-4576-ADF2-09BCA1285666}">
      <text>
        <r>
          <rPr>
            <sz val="10"/>
            <rFont val="Arial"/>
            <family val="2"/>
          </rPr>
          <t>Geolocalizzazione integrata. Tipo: Puntuale. Affidabilita: ALTA. Fonte/criterio: Ponte/passarella del Gattaglio sul Crostolo. Coordinate del ponte/passerella in area Gattaglio. URL: https://mapcarta.com/search?q=Ponte%20del%20Gattaglio%20Reggio%20Emilia</t>
        </r>
      </text>
    </comment>
    <comment ref="J12" authorId="1" shapeId="0" xr:uid="{753017A6-6830-4299-895E-034429B65B53}">
      <text>
        <r>
          <rPr>
            <sz val="10"/>
            <rFont val="Arial"/>
            <family val="2"/>
          </rPr>
          <t>Geolocalizzazione integrata. Tipo: Rappresentativo lineare. Affidabilita: BASSA. Fonte/criterio: Centroide rappresentativo del tratto Cella-Cade-Gaida ricavato dalle localita attraversate. Intervento lineare esteso: usare in futuro una geometria LineString; il punto serve solo come marker CUP. URL: https://mapcarta.com/18708310</t>
        </r>
      </text>
    </comment>
    <comment ref="K12" authorId="1" shapeId="0" xr:uid="{0308D94F-A154-4F23-8426-95249D4FF86F}">
      <text>
        <r>
          <rPr>
            <sz val="10"/>
            <rFont val="Arial"/>
            <family val="2"/>
          </rPr>
          <t>Geolocalizzazione integrata. Tipo: Rappresentativo lineare. Affidabilita: BASSA. Fonte/criterio: Centroide rappresentativo del tratto Cella-Cade-Gaida ricavato dalle localita attraversate. Intervento lineare esteso: usare in futuro una geometria LineString; il punto serve solo come marker CUP. URL: https://mapcarta.com/18708310</t>
        </r>
      </text>
    </comment>
    <comment ref="L12" authorId="0" shapeId="0" xr:uid="{1183B54F-A029-45BB-AFE9-D1D4D4D980FE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Fine tracciato lineare. Affidabilità: MEDIA. Fonte/criterio: Via Guardanavona (estremo nord/Cadè del corridoio ciclabile via Emilia Cella-Cadè-Gaida). URL: https://www.nuove-strade.it/emilia-romagna/reggio-nellemilia/via-guardanavona</t>
        </r>
      </text>
    </comment>
    <comment ref="J13" authorId="1" shapeId="0" xr:uid="{D4D54EC8-54DF-49F8-85A1-25DE8B184181}">
      <text>
        <r>
          <rPr>
            <sz val="10"/>
            <rFont val="Arial"/>
            <family val="2"/>
          </rPr>
          <t>Geolocalizzazione integrata. Tipo: Rappresentativo su via. Affidabilita: MEDIA. Fonte/criterio: Centro della Via Don Giovanni Verita. Intervento lungo la via; coordinata rappresentativa, non civico puntuale. URL: https://distanzechilometriche.net/mappa/reggio-nell-emilia/via-don-giovanni-verita/</t>
        </r>
      </text>
    </comment>
    <comment ref="K13" authorId="1" shapeId="0" xr:uid="{D0F545F2-14EC-4172-8516-D0FC1811B825}">
      <text>
        <r>
          <rPr>
            <sz val="10"/>
            <rFont val="Arial"/>
            <family val="2"/>
          </rPr>
          <t>Geolocalizzazione integrata. Tipo: Rappresentativo su via. Affidabilita: MEDIA. Fonte/criterio: Centro della Via Don Giovanni Verita. Intervento lungo la via; coordinata rappresentativa, non civico puntuale. URL: https://distanzechilometriche.net/mappa/reggio-nell-emilia/via-don-giovanni-verita/</t>
        </r>
      </text>
    </comment>
    <comment ref="J14" authorId="1" shapeId="0" xr:uid="{801C5F5C-47C7-4410-843B-6AB7AD9C7D6D}">
      <text>
        <r>
          <rPr>
            <sz val="10"/>
            <rFont val="Arial"/>
            <family val="2"/>
          </rPr>
          <t>Geolocalizzazione integrata. Tipo: Rappresentativo lineare. Affidabilita: BASSA. Fonte/criterio: Punto medio approssimato tra Stazione FS/Piazzale Marconi e Piazza della Vittoria. Strada della Cultura: marker al centro del corridoio; preferibile una LineString nella mappa finale. URL: https://distanzechilometriche.net/mappa/reggio-nell-emilia/piazza-della-vittoria/</t>
        </r>
      </text>
    </comment>
    <comment ref="K14" authorId="1" shapeId="0" xr:uid="{C049BC74-38EF-4617-8F1D-F5B355433522}">
      <text>
        <r>
          <rPr>
            <sz val="10"/>
            <rFont val="Arial"/>
            <family val="2"/>
          </rPr>
          <t>Geolocalizzazione integrata. Tipo: Rappresentativo lineare. Affidabilita: BASSA. Fonte/criterio: Punto medio approssimato tra Stazione FS/Piazzale Marconi e Piazza della Vittoria. Strada della Cultura: marker al centro del corridoio; preferibile una LineString nella mappa finale. URL: https://distanzechilometriche.net/mappa/reggio-nell-emilia/piazza-della-vittoria/</t>
        </r>
      </text>
    </comment>
    <comment ref="J15" authorId="1" shapeId="0" xr:uid="{434F8AB2-BA2B-4E16-9863-6CDAC9649BB4}">
      <text>
        <r>
          <rPr>
            <sz val="10"/>
            <rFont val="Arial"/>
            <family val="2"/>
          </rPr>
          <t>Geolocalizzazione integrata. Tipo: Puntuale/area. Affidabilita: ALTA. Fonte/criterio: Area Orti di Santa Chiara tra Teatro Cavallerizza e Spazio Gerra. Punto centrale dell area descritta dal Comune tra Cavallerizza e Spazio Gerra. URL: https://www.comune.reggioemilia.it/argomenti/attuazione-misure-pnrr/missione-5/pnrr-m5c2-i2-1-riqualificazione-e-rigenerazione-urbana-del-quadrante-nord-est-del-centro-storico-di-reggio-2013-riqualificazione-degli-orti-di-santa-chiara-1</t>
        </r>
      </text>
    </comment>
    <comment ref="K15" authorId="1" shapeId="0" xr:uid="{7A6607CB-CC7D-48A7-881F-43984FD89075}">
      <text>
        <r>
          <rPr>
            <sz val="10"/>
            <rFont val="Arial"/>
            <family val="2"/>
          </rPr>
          <t>Geolocalizzazione integrata. Tipo: Puntuale/area. Affidabilita: ALTA. Fonte/criterio: Area Orti di Santa Chiara tra Teatro Cavallerizza e Spazio Gerra. Punto centrale dell area descritta dal Comune tra Cavallerizza e Spazio Gerra. URL: https://www.comune.reggioemilia.it/argomenti/attuazione-misure-pnrr/missione-5/pnrr-m5c2-i2-1-riqualificazione-e-rigenerazione-urbana-del-quadrante-nord-est-del-centro-storico-di-reggio-2013-riqualificazione-degli-orti-di-santa-chiara-1</t>
        </r>
      </text>
    </comment>
    <comment ref="J16" authorId="1" shapeId="0" xr:uid="{4B4CC6A8-F6BC-4359-8587-E6808C565C55}">
      <text>
        <r>
          <rPr>
            <sz val="10"/>
            <rFont val="Arial"/>
            <family val="2"/>
          </rPr>
          <t>Geolocalizzazione integrata. Tipo: Rappresentativo su via. Affidabilita: MEDIA. Fonte/criterio: Centro della Via Inghilterra. Barriere antirumore lungo la via: punto rappresentativo. URL: https://www.italiamappe.it/stradario/reggio-nell%27emilia/</t>
        </r>
      </text>
    </comment>
    <comment ref="K16" authorId="1" shapeId="0" xr:uid="{9E0E4FBB-43FE-4275-A549-0C3F60D7E0AF}">
      <text>
        <r>
          <rPr>
            <sz val="10"/>
            <rFont val="Arial"/>
            <family val="2"/>
          </rPr>
          <t>Geolocalizzazione integrata. Tipo: Rappresentativo su via. Affidabilita: MEDIA. Fonte/criterio: Centro della Via Inghilterra. Barriere antirumore lungo la via: punto rappresentativo. URL: https://www.italiamappe.it/stradario/reggio-nell%27emilia/</t>
        </r>
      </text>
    </comment>
    <comment ref="J17" authorId="0" shapeId="0" xr:uid="{478A0882-8667-4841-BA14-316B0A3DE08C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Inizio tracciato lineare. Affidabilità: ALTA. Fonte/criterio: Via Roma (estremo ovest del sottopasso ciclopedonale alla ferrovia storica). URL: https://www.italiamappe.it/stradario/reggio-nell%27emilia/via-roma/</t>
        </r>
      </text>
    </comment>
    <comment ref="L17" authorId="0" shapeId="0" xr:uid="{7D492851-F9EE-4CEE-B89B-AF19686A4310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Fine tracciato lineare. Affidabilità: MEDIA. Fonte/criterio: Viale Regina Margherita (estremo est del sottopasso). URL: https://www.tuttocitta.it/ristoranti/reggio-nell'emilia/viale-regina-margherita</t>
        </r>
      </text>
    </comment>
    <comment ref="B18" authorId="0" shapeId="0" xr:uid="{74955621-08AE-4643-9ED5-FE240E61A7D6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Fine tracciato lineare. Affidabilità: MEDIA. Fonte/criterio: Area Arena Campovolo/Via dell'Aeronautica (estremo nord del cavalcaferrovia verso il sistema dei parchi/Campovolo). URL: https://www.italiamappe.it/stradario/reggio-nell'emilia/via-dell'-aeronautica/</t>
        </r>
      </text>
    </comment>
    <comment ref="J19" authorId="1" shapeId="0" xr:uid="{73E3E32E-AA79-4B54-B6FA-86A9FD7C41F2}">
      <text>
        <r>
          <rPr>
            <sz val="10"/>
            <rFont val="Arial"/>
            <family val="2"/>
          </rPr>
          <t>Geolocalizzazione integrata. Tipo: Rappresentativo su via. Affidabilita: MEDIA. Fonte/criterio: Centro della Via Compagnoni. Riqualificazione ex scuole nel quartiere Compagnoni; punto su via. URL: https://www.italiamappe.it/stradario/reggio-nell%27emilia/</t>
        </r>
      </text>
    </comment>
    <comment ref="K19" authorId="1" shapeId="0" xr:uid="{A6F9ED77-6703-4920-9EC3-35F2C202EBF8}">
      <text>
        <r>
          <rPr>
            <sz val="10"/>
            <rFont val="Arial"/>
            <family val="2"/>
          </rPr>
          <t>Geolocalizzazione integrata. Tipo: Rappresentativo su via. Affidabilita: MEDIA. Fonte/criterio: Centro della Via Compagnoni. Riqualificazione ex scuole nel quartiere Compagnoni; punto su via. URL: https://www.italiamappe.it/stradario/reggio-nell%27emilia/</t>
        </r>
      </text>
    </comment>
    <comment ref="J20" authorId="1" shapeId="0" xr:uid="{E9D50477-477C-4262-AA78-3FF9FA300002}">
      <text>
        <r>
          <rPr>
            <sz val="10"/>
            <rFont val="Arial"/>
            <family val="2"/>
          </rPr>
          <t>Geolocalizzazione integrata. Tipo: Puntuale/area parco. Affidabilita: MEDIA. Fonte/criterio: Area Campo di Marte tra Via Cellini e linea Reggio-Sassuolo. Punto rappresentativo dei parchi Campo di Marte 1 e 2 presso il sottopasso. URL: https://www.comune.reggioemilia.it/argomenti/attuazione-misure-pnrr</t>
        </r>
      </text>
    </comment>
    <comment ref="K20" authorId="1" shapeId="0" xr:uid="{8442502A-1573-4917-B8F7-41627682DE7D}">
      <text>
        <r>
          <rPr>
            <sz val="10"/>
            <rFont val="Arial"/>
            <family val="2"/>
          </rPr>
          <t>Geolocalizzazione integrata. Tipo: Puntuale/area parco. Affidabilita: MEDIA. Fonte/criterio: Area Campo di Marte tra Via Cellini e linea Reggio-Sassuolo. Punto rappresentativo dei parchi Campo di Marte 1 e 2 presso il sottopasso. URL: https://www.comune.reggioemilia.it/argomenti/attuazione-misure-pnrr</t>
        </r>
      </text>
    </comment>
    <comment ref="J21" authorId="1" shapeId="0" xr:uid="{A18BDA01-0527-468F-8D63-0D8DE14266FE}">
      <text>
        <r>
          <rPr>
            <sz val="10"/>
            <rFont val="Arial"/>
            <family val="2"/>
          </rPr>
          <t>Geolocalizzazione integrata. Tipo: Rappresentativo opera. Affidabilita: MEDIA. Fonte/criterio: Asse Via Roma - Viale Regina Margherita in corrispondenza della ferrovia. Punto stimato sull asse del sottopasso; posizione rappresentativa dell opera. URL: https://www.comune.reggioemilia.it/argomenti/attuazione-misure-pnrr/progetti-stralciati-dal-pnrr/pnrr-m5c2-i2-1-riqualificazione-e-rigenerazione-urbana-del-quadrante-nord-est-del-centro-storico-di-reggio-2013-sottopasso-ciclopedonale-alla-ferrovia-storica-milano-bologna</t>
        </r>
      </text>
    </comment>
    <comment ref="K21" authorId="1" shapeId="0" xr:uid="{5FA74AC8-F245-4FFF-BFDB-7B3FC7AD9DCF}">
      <text>
        <r>
          <rPr>
            <sz val="10"/>
            <rFont val="Arial"/>
            <family val="2"/>
          </rPr>
          <t>Geolocalizzazione integrata. Tipo: Rappresentativo opera. Affidabilita: MEDIA. Fonte/criterio: Asse Via Roma - Viale Regina Margherita in corrispondenza della ferrovia. Punto stimato sull asse del sottopasso; posizione rappresentativa dell opera. URL: https://www.comune.reggioemilia.it/argomenti/attuazione-misure-pnrr/progetti-stralciati-dal-pnrr/pnrr-m5c2-i2-1-riqualificazione-e-rigenerazione-urbana-del-quadrante-nord-est-del-centro-storico-di-reggio-2013-sottopasso-ciclopedonale-alla-ferrovia-storica-milano-bologna</t>
        </r>
      </text>
    </comment>
    <comment ref="J22" authorId="1" shapeId="0" xr:uid="{ACA27D69-E975-42BC-8482-85560F02C9E1}">
      <text>
        <r>
          <rPr>
            <sz val="10"/>
            <rFont val="Arial"/>
            <family val="2"/>
          </rPr>
          <t>Geolocalizzazione integrata. Tipo: Rappresentativo opera. Affidabilita: MEDIA. Fonte/criterio: Circa 150 m a ovest della stazione Reggio Emilia San Lazzaro, come da descrizione progetto. Derivato dalla posizione della stazione e dalla distanza indicata nel progetto. URL: https://www.wikidata.org/wiki/Special:Search?search=Reggio%20Emilia%20San%20Lazzaro%20station</t>
        </r>
      </text>
    </comment>
    <comment ref="K22" authorId="1" shapeId="0" xr:uid="{28EB0F48-9A88-4DED-A113-D042D63620AC}">
      <text>
        <r>
          <rPr>
            <sz val="10"/>
            <rFont val="Arial"/>
            <family val="2"/>
          </rPr>
          <t>Geolocalizzazione integrata. Tipo: Rappresentativo opera. Affidabilita: MEDIA. Fonte/criterio: Circa 150 m a ovest della stazione Reggio Emilia San Lazzaro, come da descrizione progetto. Derivato dalla posizione della stazione e dalla distanza indicata nel progetto. URL: https://www.wikidata.org/wiki/Special:Search?search=Reggio%20Emilia%20San%20Lazzaro%20station</t>
        </r>
      </text>
    </comment>
    <comment ref="J25" authorId="0" shapeId="0" xr:uid="{0CCC1AC6-A279-466C-869F-AE7A82BE1B3C}">
      <text>
        <r>
          <rPr>
            <sz val="10"/>
            <rFont val="Arial"/>
            <family val="2"/>
          </rPr>
          <t>Raffaele Davolio:
Source: italiamappe.it, https://www.italiamappe.it/stradario/reggio-nell'emilia/via-domenico-francesco-cecati/</t>
        </r>
      </text>
    </comment>
    <comment ref="K25" authorId="0" shapeId="0" xr:uid="{1290736F-88DD-4807-A99B-EDAE689A3A33}">
      <text>
        <r>
          <rPr>
            <sz val="10"/>
            <rFont val="Arial"/>
            <family val="2"/>
          </rPr>
          <t>Raffaele Davolio:
Source: italiamappe.it, https://www.italiamappe.it/stradario/reggio-nell'emilia/via-domenico-francesco-cecati/</t>
        </r>
      </text>
    </comment>
    <comment ref="J26" authorId="0" shapeId="0" xr:uid="{F3C510A3-E4F1-42BD-9AAD-E024C605A49C}">
      <text>
        <r>
          <rPr>
            <sz val="10"/>
            <rFont val="Arial"/>
            <family val="2"/>
          </rPr>
          <t>Raffaele Davolio:
Source: nuove-strade.it, https://www.nuove-strade.it/emilia-romagna/reggio-nellemilia/via-ghiarda</t>
        </r>
      </text>
    </comment>
    <comment ref="K26" authorId="0" shapeId="0" xr:uid="{AB3028A5-4FE3-4A6B-BF86-3F0AED6095C0}">
      <text>
        <r>
          <rPr>
            <sz val="10"/>
            <rFont val="Arial"/>
            <family val="2"/>
          </rPr>
          <t>Raffaele Davolio:
Source: nuove-strade.it, https://www.nuove-strade.it/emilia-romagna/reggio-nellemilia/via-ghiarda</t>
        </r>
      </text>
    </comment>
    <comment ref="J27" authorId="1" shapeId="0" xr:uid="{7BEFB067-B921-4473-B138-4088E29B29C6}">
      <text>
        <r>
          <rPr>
            <sz val="10"/>
            <rFont val="Arial"/>
            <family val="2"/>
          </rPr>
          <t>Geolocalizzazione integrata. Tipo: Rappresentativo su via. Affidabilita: MEDIA. Fonte/criterio: Via Lasagni, localita Bagno. Punto rappresentativo della via; verificare il civico 5/A in caso di uso tecnico di precisione. URL: https://www.italiamappe.it/stradario/reggio-nell%27emilia/</t>
        </r>
      </text>
    </comment>
    <comment ref="K27" authorId="1" shapeId="0" xr:uid="{0228395D-E0F4-4C33-8B66-6F0276128626}">
      <text>
        <r>
          <rPr>
            <sz val="10"/>
            <rFont val="Arial"/>
            <family val="2"/>
          </rPr>
          <t>Geolocalizzazione integrata. Tipo: Rappresentativo su via. Affidabilita: MEDIA. Fonte/criterio: Via Lasagni, localita Bagno. Punto rappresentativo della via; verificare il civico 5/A in caso di uso tecnico di precisione. URL: https://www.italiamappe.it/stradario/reggio-nell%27emilia/</t>
        </r>
      </text>
    </comment>
    <comment ref="J28" authorId="0" shapeId="0" xr:uid="{A00F8A13-581E-42EB-9D61-10D2012D2CDD}">
      <text>
        <r>
          <rPr>
            <sz val="10"/>
            <rFont val="Arial"/>
            <family val="2"/>
          </rPr>
          <t>Raffaele Davolio:
Source: nuove-strade.it, https://www.nuove-strade.it/emilia-romagna/reggio-nellemilia/via-giordano-bruno</t>
        </r>
      </text>
    </comment>
    <comment ref="K28" authorId="0" shapeId="0" xr:uid="{3A6DF6C7-C5ED-44B4-A8FF-4A6FFC2F27D4}">
      <text>
        <r>
          <rPr>
            <sz val="10"/>
            <rFont val="Arial"/>
            <family val="2"/>
          </rPr>
          <t>Raffaele Davolio:
Source: nuove-strade.it, https://www.nuove-strade.it/emilia-romagna/reggio-nellemilia/via-giordano-bruno</t>
        </r>
      </text>
    </comment>
    <comment ref="J29" authorId="0" shapeId="0" xr:uid="{B45DD060-C775-43CE-8D67-D0259F753C6A}">
      <text>
        <r>
          <rPr>
            <sz val="10"/>
            <rFont val="Arial"/>
            <family val="2"/>
          </rPr>
          <t>Raffaele Davolio:
Source: italiamappe.it, https://www.italiamappe.it/stradario/reggio-nell'emilia/via-pier-giacinto-terrachini/</t>
        </r>
      </text>
    </comment>
    <comment ref="K29" authorId="0" shapeId="0" xr:uid="{9CDF4A8D-C7C3-4310-AC35-FF3A6EDD9092}">
      <text>
        <r>
          <rPr>
            <sz val="10"/>
            <rFont val="Arial"/>
            <family val="2"/>
          </rPr>
          <t>Raffaele Davolio:
Source: italiamappe.it, https://www.italiamappe.it/stradario/reggio-nell'emilia/via-pier-giacinto-terrachini/</t>
        </r>
      </text>
    </comment>
    <comment ref="J30" authorId="0" shapeId="0" xr:uid="{6494FAF4-5A26-42E1-82AA-9829B3627AB2}">
      <text>
        <r>
          <rPr>
            <sz val="10"/>
            <rFont val="Arial"/>
            <family val="2"/>
          </rPr>
          <t>Raffaele Davolio:
Source: italiamappe.it, https://www.italiamappe.it/stradario/reggio-nell'emilia/via-emilia-all'ospizio/</t>
        </r>
      </text>
    </comment>
    <comment ref="K30" authorId="0" shapeId="0" xr:uid="{87F21FB6-B50E-4C68-A50C-2794941CE9D5}">
      <text>
        <r>
          <rPr>
            <sz val="10"/>
            <rFont val="Arial"/>
            <family val="2"/>
          </rPr>
          <t>Raffaele Davolio:
Source: italiamappe.it, https://www.italiamappe.it/stradario/reggio-nell'emilia/via-emilia-all'ospizio/</t>
        </r>
      </text>
    </comment>
    <comment ref="J31" authorId="1" shapeId="0" xr:uid="{76C9D24E-C1B1-4B88-9FE5-0188DA5DE3A9}">
      <text>
        <r>
          <rPr>
            <sz val="10"/>
            <rFont val="Arial"/>
            <family val="2"/>
          </rPr>
          <t>Geolocalizzazione integrata. Tipo: Puntuale. Affidabilita: ALTA. Fonte/criterio: Nido Sole, Via Caravaggio 2. Coordinate edificio/area scolastica. URL: https://www.comune.reggioemilia.it/argomenti/istituzione-scuole-e-nidi-dinfanzia</t>
        </r>
      </text>
    </comment>
    <comment ref="K31" authorId="1" shapeId="0" xr:uid="{2A70A3C7-C2AD-4C0F-AA1D-7CA12AEB839C}">
      <text>
        <r>
          <rPr>
            <sz val="10"/>
            <rFont val="Arial"/>
            <family val="2"/>
          </rPr>
          <t>Geolocalizzazione integrata. Tipo: Puntuale. Affidabilita: ALTA. Fonte/criterio: Nido Sole, Via Caravaggio 2. Coordinate edificio/area scolastica. URL: https://www.comune.reggioemilia.it/argomenti/istituzione-scuole-e-nidi-dinfanzia</t>
        </r>
      </text>
    </comment>
    <comment ref="J32" authorId="0" shapeId="0" xr:uid="{A9D698A3-ECB3-4131-AD29-5D4F31E474B8}">
      <text>
        <r>
          <rPr>
            <sz val="10"/>
            <rFont val="Arial"/>
            <family val="2"/>
          </rPr>
          <t>Raffaele Davolio:
Source: italiamappe.it, https://www.italiamappe.it/stradario/reggio-nell'emilia/via-domenico-francesco-cecati/</t>
        </r>
      </text>
    </comment>
    <comment ref="K32" authorId="0" shapeId="0" xr:uid="{7467BF16-53E1-4D95-8C5B-77933184FF4B}">
      <text>
        <r>
          <rPr>
            <sz val="10"/>
            <rFont val="Arial"/>
            <family val="2"/>
          </rPr>
          <t>Raffaele Davolio:
Source: italiamappe.it, https://www.italiamappe.it/stradario/reggio-nell'emilia/via-domenico-francesco-cecati/</t>
        </r>
      </text>
    </comment>
    <comment ref="J33" authorId="1" shapeId="0" xr:uid="{C650EAC5-9B4D-4F9E-A980-97790504A2C6}">
      <text>
        <r>
          <rPr>
            <sz val="10"/>
            <rFont val="Arial"/>
            <family val="2"/>
          </rPr>
          <t>Geolocalizzazione integrata. Tipo: Puntuale stimato. Affidabilita: MEDIA. Fonte/criterio: Nido Peter Pan, Via Pradarena 14; posizione ricostruita da POI e viabilita circostante. Indirizzo ufficiale; coordinata ricostruita sull edificio/area del nido. URL: https://www.comune.reggioemilia.it/argomenti/istituzione-scuole-e-nidi-dinfanzia/nidi-dinfanzia/nidi-comunali-e-convenzionati/peterpan</t>
        </r>
      </text>
    </comment>
    <comment ref="K33" authorId="1" shapeId="0" xr:uid="{A2FB98E4-2B5D-4EAA-A0D6-A90E67B1666C}">
      <text>
        <r>
          <rPr>
            <sz val="10"/>
            <rFont val="Arial"/>
            <family val="2"/>
          </rPr>
          <t>Geolocalizzazione integrata. Tipo: Puntuale stimato. Affidabilita: MEDIA. Fonte/criterio: Nido Peter Pan, Via Pradarena 14; posizione ricostruita da POI e viabilita circostante. Indirizzo ufficiale; coordinata ricostruita sull edificio/area del nido. URL: https://www.comune.reggioemilia.it/argomenti/istituzione-scuole-e-nidi-dinfanzia/nidi-dinfanzia/nidi-comunali-e-convenzionati/peterpan</t>
        </r>
      </text>
    </comment>
    <comment ref="J34" authorId="1" shapeId="0" xr:uid="{0ABB646D-15B6-4DB9-889C-43071246D6BB}">
      <text>
        <r>
          <rPr>
            <sz val="10"/>
            <rFont val="Arial"/>
            <family val="2"/>
          </rPr>
          <t>Geolocalizzazione integrata. Tipo: Puntuale stimato. Affidabilita: MEDIA. Fonte/criterio: Nido Genoeffa Cervi, Via Renato Fucini 1. POI del nido in prossimita del riferimento cartografico Casino Bacchi. URL: https://www.comune.reggioemilia.it/argomenti/istituzione-scuole-e-nidi-dinfanzia</t>
        </r>
      </text>
    </comment>
    <comment ref="K34" authorId="1" shapeId="0" xr:uid="{6268A4B6-F50C-4DB0-A263-E5C78B02621B}">
      <text>
        <r>
          <rPr>
            <sz val="10"/>
            <rFont val="Arial"/>
            <family val="2"/>
          </rPr>
          <t>Geolocalizzazione integrata. Tipo: Puntuale stimato. Affidabilita: MEDIA. Fonte/criterio: Nido Genoeffa Cervi, Via Renato Fucini 1. POI del nido in prossimita del riferimento cartografico Casino Bacchi. URL: https://www.comune.reggioemilia.it/argomenti/istituzione-scuole-e-nidi-dinfanzia</t>
        </r>
      </text>
    </comment>
    <comment ref="J35" authorId="1" shapeId="0" xr:uid="{4A8585B9-FDD8-4B78-9C8F-3EC812035727}">
      <text>
        <r>
          <rPr>
            <sz val="10"/>
            <rFont val="Arial"/>
            <family val="2"/>
          </rPr>
          <t>Geolocalizzazione integrata. Tipo: Rappresentativo su via. Affidabilita: MEDIA. Fonte/criterio: Polo Rivieri/Claudel, Via H. de Balzac 2. Indirizzo ufficiale; coordinata rappresentativa della via. URL: https://www.comune.reggioemilia.it/argomenti/istituzione-scuole-e-nidi-dinfanzia/nidi-scuole/rivieri</t>
        </r>
      </text>
    </comment>
    <comment ref="K35" authorId="1" shapeId="0" xr:uid="{A7AEB63D-5C38-479B-88B2-519B1E4867B2}">
      <text>
        <r>
          <rPr>
            <sz val="10"/>
            <rFont val="Arial"/>
            <family val="2"/>
          </rPr>
          <t>Geolocalizzazione integrata. Tipo: Rappresentativo su via. Affidabilita: MEDIA. Fonte/criterio: Polo Rivieri/Claudel, Via H. de Balzac 2. Indirizzo ufficiale; coordinata rappresentativa della via. URL: https://www.comune.reggioemilia.it/argomenti/istituzione-scuole-e-nidi-dinfanzia/nidi-scuole/rivieri</t>
        </r>
      </text>
    </comment>
    <comment ref="J36" authorId="1" shapeId="0" xr:uid="{C63B6CD6-E2D8-40FE-A7CB-7927C118C8AB}">
      <text>
        <r>
          <rPr>
            <sz val="10"/>
            <rFont val="Arial"/>
            <family val="2"/>
          </rPr>
          <t>Geolocalizzazione integrata. Tipo: Puntuale. Affidabilita: ALTA. Fonte/criterio: Nido Nilde Iotti / Polo Agora, Via Fratelli Bandiera 12C. Coordinate pubblicate nel Censimento delle architetture contemporanee del Ministero della Cultura. URL: https://censimentoarchitetturecontemporanee.cultura.gov.it/scheda-opera?id=4862</t>
        </r>
      </text>
    </comment>
    <comment ref="K36" authorId="1" shapeId="0" xr:uid="{A545EB95-9BBD-488A-9FCE-42DAB1734816}">
      <text>
        <r>
          <rPr>
            <sz val="10"/>
            <rFont val="Arial"/>
            <family val="2"/>
          </rPr>
          <t>Geolocalizzazione integrata. Tipo: Puntuale. Affidabilita: ALTA. Fonte/criterio: Nido Nilde Iotti / Polo Agora, Via Fratelli Bandiera 12C. Coordinate pubblicate nel Censimento delle architetture contemporanee del Ministero della Cultura. URL: https://censimentoarchitetturecontemporanee.cultura.gov.it/scheda-opera?id=4862</t>
        </r>
      </text>
    </comment>
    <comment ref="J37" authorId="1" shapeId="0" xr:uid="{1828FF39-97CE-49EF-AE8C-044BFE82CDFB}">
      <text>
        <r>
          <rPr>
            <sz val="10"/>
            <rFont val="Arial"/>
            <family val="2"/>
          </rPr>
          <t>Geolocalizzazione integrata. Tipo: Puntuale/area parco. Affidabilita: ALTA. Fonte/criterio: Parco Nilde Iotti (gia Parco Ottavi). Punto rappresentativo dell area del Parco Ottavi/Nilde Iotti. URL: https://www.comune.reggioemilia.it/argomenti/mobilita/progetti/reggio-emilia-citta-dei-sentieri/i-sentieri/anello-alex-langer/documenti-allegati/punti-di-interesse.pdf</t>
        </r>
      </text>
    </comment>
    <comment ref="K37" authorId="1" shapeId="0" xr:uid="{5F58212D-AF40-4B6B-9E66-D15CCC2A893C}">
      <text>
        <r>
          <rPr>
            <sz val="10"/>
            <rFont val="Arial"/>
            <family val="2"/>
          </rPr>
          <t>Geolocalizzazione integrata. Tipo: Puntuale/area parco. Affidabilita: ALTA. Fonte/criterio: Parco Nilde Iotti (gia Parco Ottavi). Punto rappresentativo dell area del Parco Ottavi/Nilde Iotti. URL: https://www.comune.reggioemilia.it/argomenti/mobilita/progetti/reggio-emilia-citta-dei-sentieri/i-sentieri/anello-alex-langer/documenti-allegati/punti-di-interesse.pdf</t>
        </r>
      </text>
    </comment>
    <comment ref="J40" authorId="1" shapeId="0" xr:uid="{1E79F6A3-35E9-4201-A1BA-488437C628EE}">
      <text>
        <r>
          <rPr>
            <sz val="10"/>
            <rFont val="Arial"/>
            <family val="2"/>
          </rPr>
          <t>Geolocalizzazione integrata. Tipo: Rappresentativo su via. Affidabilita: MEDIA. Fonte/criterio: Via Manzotti, Masone. Punto rappresentativo della via per la nuova Cittadella dello Sport. URL: https://www.italiamappe.it/stradario/reggio-nell%27emilia/</t>
        </r>
      </text>
    </comment>
    <comment ref="K40" authorId="1" shapeId="0" xr:uid="{37B70A8C-5C92-40D3-8CC5-767DFFF23B20}">
      <text>
        <r>
          <rPr>
            <sz val="10"/>
            <rFont val="Arial"/>
            <family val="2"/>
          </rPr>
          <t>Geolocalizzazione integrata. Tipo: Rappresentativo su via. Affidabilita: MEDIA. Fonte/criterio: Via Manzotti, Masone. Punto rappresentativo della via per la nuova Cittadella dello Sport. URL: https://www.italiamappe.it/stradario/reggio-nell%27emilia/</t>
        </r>
      </text>
    </comment>
    <comment ref="J41" authorId="1" shapeId="0" xr:uid="{46BC11E0-92CC-4AB2-9363-D8AAAE0673C0}">
      <text>
        <r>
          <rPr>
            <sz val="10"/>
            <rFont val="Arial"/>
            <family val="2"/>
          </rPr>
          <t>Geolocalizzazione integrata. Tipo: Puntuale. Affidabilita: ALTA. Fonte/criterio: Stadio Mirabello. Centro dello stadio; il civico pubblico ricorrente e Via Giacomo Matteotti 2. URL: https://mapcarta.com/search?q=Stadio%20Mirabello%20Reggio%20Emilia</t>
        </r>
      </text>
    </comment>
    <comment ref="K41" authorId="1" shapeId="0" xr:uid="{AF9D11E0-DAA5-4F33-9CC7-A4B23441AAD6}">
      <text>
        <r>
          <rPr>
            <sz val="10"/>
            <rFont val="Arial"/>
            <family val="2"/>
          </rPr>
          <t>Geolocalizzazione integrata. Tipo: Puntuale. Affidabilita: ALTA. Fonte/criterio: Stadio Mirabello. Centro dello stadio; il civico pubblico ricorrente e Via Giacomo Matteotti 2. URL: https://mapcarta.com/search?q=Stadio%20Mirabello%20Reggio%20Emilia</t>
        </r>
      </text>
    </comment>
    <comment ref="J44" authorId="1" shapeId="0" xr:uid="{182729F8-B606-4D4B-857F-A4617B357FB8}">
      <text>
        <r>
          <rPr>
            <sz val="10"/>
            <rFont val="Arial"/>
            <family val="2"/>
          </rPr>
          <t>Geolocalizzazione integrata. Tipo: Rappresentativo lineare. Affidabilita: BASSA. Fonte/criterio: Punto medio rappresentativo del collegamento San Lazzaro-centro. Intervento ciclabile lineare: usare una LineString quando disponibile. URL: https://www.comune.reggioemilia.it/argomenti/mobilita</t>
        </r>
      </text>
    </comment>
    <comment ref="K44" authorId="1" shapeId="0" xr:uid="{87A4D1D3-195F-4414-86D4-E21BCCB1B43C}">
      <text>
        <r>
          <rPr>
            <sz val="10"/>
            <rFont val="Arial"/>
            <family val="2"/>
          </rPr>
          <t>Geolocalizzazione integrata. Tipo: Rappresentativo lineare. Affidabilita: BASSA. Fonte/criterio: Punto medio rappresentativo del collegamento San Lazzaro-centro. Intervento ciclabile lineare: usare una LineString quando disponibile. URL: https://www.comune.reggioemilia.it/argomenti/mobilita</t>
        </r>
      </text>
    </comment>
    <comment ref="L44" authorId="0" shapeId="0" xr:uid="{8E7ECC29-9084-462E-8203-C7297B561916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Fine tracciato lineare. Affidabilità: BASSA. Fonte/criterio: Centro città (Piazza Prampolini, area via Cialdini) come estremo del completamento ciclovia 1/2 San Lazzaro-centro. Coordinata di centro città usata come approssimazione; via Cialdini non geocodificata puntualmente. URL: stima interna</t>
        </r>
      </text>
    </comment>
    <comment ref="J45" authorId="1" shapeId="0" xr:uid="{7B6C81BE-7952-49EB-A2EE-B8EFACF3166C}">
      <text>
        <r>
          <rPr>
            <sz val="10"/>
            <rFont val="Arial"/>
            <family val="2"/>
          </rPr>
          <t>Geolocalizzazione integrata. Tipo: Inizio tracciato lineare. Affidabilità: ALTA. Fonte/criterio: Stazione Reggio Emilia AV Mediopadana. URL: https://it.m.wikipedia.org/wiki/Stazione_di_Reggio_Emilia_AV_Mediopadana</t>
        </r>
      </text>
    </comment>
    <comment ref="K45" authorId="1" shapeId="0" xr:uid="{FFF5018D-F974-461B-93F2-87FFDDECF540}">
      <text>
        <r>
          <rPr>
            <sz val="10"/>
            <rFont val="Arial"/>
            <family val="2"/>
          </rPr>
          <t>Geolocalizzazione integrata. Tipo: Rappresentativo lineare. Affidabilita: BASSA. Fonte/criterio: Tratto nord presso Via Filangieri/Gramsci. Superciclabile estesa: marker rappresentativo del corridoio nord. URL: https://www.italiamappe.it/stradario/reggio-nell%27emilia/</t>
        </r>
      </text>
    </comment>
    <comment ref="L45" authorId="0" shapeId="0" xr:uid="{4282E298-63A6-48E1-88D5-D9ECE378753D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Fine tracciato lineare. Affidabilità: BASSA. Fonte/criterio: Confine comunale nord (area Filangieri/Gramsci), punto già usato come rappresentativo prima della separazione inizio/fine. URL: https://www.italiamappe.it/stradario/reggio-nell%27emilia/</t>
        </r>
      </text>
    </comment>
    <comment ref="J46" authorId="1" shapeId="0" xr:uid="{EFBFE920-18D1-4F86-8B66-D4BFB6015BA3}">
      <text>
        <r>
          <rPr>
            <sz val="10"/>
            <rFont val="Arial"/>
            <family val="2"/>
          </rPr>
          <t>Geolocalizzazione integrata. Tipo: Inizio tracciato lineare. Affidabilità: BASSA. Fonte/criterio: Frazione Rivalta (Reggio Emilia), circa 6 km a sud del centro città; nessuna coordinata puntuale pubblicata trovata, stima da distanza/direzione nota. URL: https://maps.apple.com/place?auid=14838136799671959618</t>
        </r>
      </text>
    </comment>
    <comment ref="K46" authorId="1" shapeId="0" xr:uid="{A78BC375-A162-4B84-968C-C001E131AE30}">
      <text>
        <r>
          <rPr>
            <sz val="10"/>
            <rFont val="Arial"/>
            <family val="2"/>
          </rPr>
          <t>Geolocalizzazione integrata. Tipo: Rappresentativo lineare. Affidabilita: BASSA. Fonte/criterio: Punto rappresentativo del corridoio Rivalta-Mancasale. Superciclabile molto estesa: marker di sintesi; preferibile geometria lineare. URL: https://www.comune.reggioemilia.it/argomenti/mobilita</t>
        </r>
      </text>
    </comment>
    <comment ref="L46" authorId="0" shapeId="0" xr:uid="{948D24F8-7CD8-4F0D-B5FA-5C13E826C4AB}">
      <text>
        <r>
          <rPr>
            <b/>
            <sz val="9"/>
            <color indexed="81"/>
            <rFont val="Tahoma"/>
            <family val="2"/>
          </rPr>
          <t>Raffaele Davolio:</t>
        </r>
        <r>
          <rPr>
            <sz val="9"/>
            <color indexed="81"/>
            <rFont val="Tahoma"/>
            <family val="2"/>
          </rPr>
          <t xml:space="preserve">
Geolocalizzazione integrata. Tipo: Fine tracciato lineare. Affidabilità: MEDIA. Fonte/criterio: Quartiere Mancasale. URL: https://www.italiamappe.it/stradario/reggio-nell'emilia/quartiere-mancasale/</t>
        </r>
      </text>
    </comment>
    <comment ref="J50" authorId="1" shapeId="0" xr:uid="{06657563-7C13-4C8A-B997-4D78F7C984B4}">
      <text>
        <r>
          <rPr>
            <sz val="10"/>
            <rFont val="Arial"/>
            <family val="2"/>
          </rPr>
          <t>Geolocalizzazione integrata. Tipo: Rappresentativo multi-sito. Affidabilita: MEDIA. Fonte/criterio: Uno dei due immobili del CUP: Via Brigata Reggio 30; l altro e Via Mazzini 6. CUP multisito. Il marker rappresenta Via Brigata Reggio 30; mantenere nota dei due immobili.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  </r>
      </text>
    </comment>
    <comment ref="K50" authorId="1" shapeId="0" xr:uid="{5167F61C-5A10-4ABD-B705-380C23D474D5}">
      <text>
        <r>
          <rPr>
            <sz val="10"/>
            <rFont val="Arial"/>
            <family val="2"/>
          </rPr>
          <t>Geolocalizzazione integrata. Tipo: Rappresentativo multi-sito. Affidabilita: MEDIA. Fonte/criterio: Uno dei due immobili del CUP: Via Brigata Reggio 30; l altro e Via Mazzini 6. CUP multisito. Il marker rappresenta Via Brigata Reggio 30; mantenere nota dei due immobili.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  </r>
      </text>
    </comment>
    <comment ref="J52" authorId="1" shapeId="0" xr:uid="{ECE967AC-F421-4C70-AAA1-E362E8B053E6}">
      <text>
        <r>
          <rPr>
            <sz val="10"/>
            <rFont val="Arial"/>
            <family val="2"/>
          </rPr>
          <t>Geolocalizzazione integrata. Tipo: Rappresentativo su via. Affidabilita: BASSA. Fonte/criterio: Via Dalmazia; riferimento cartografico prossimo al civico 85. Il riferimento disponibile e per Via Dalmazia 101; il civico 85 e prossimo ma va verificato per uso di precisione. URL: https://www.blia.it/in/96982-46178</t>
        </r>
      </text>
    </comment>
    <comment ref="K52" authorId="1" shapeId="0" xr:uid="{8C1DAC32-6738-433A-B087-1AC682258BD4}">
      <text>
        <r>
          <rPr>
            <sz val="10"/>
            <rFont val="Arial"/>
            <family val="2"/>
          </rPr>
          <t>Geolocalizzazione integrata. Tipo: Rappresentativo su via. Affidabilita: BASSA. Fonte/criterio: Via Dalmazia; riferimento cartografico prossimo al civico 85. Il riferimento disponibile e per Via Dalmazia 101; il civico 85 e prossimo ma va verificato per uso di precisione. URL: https://www.blia.it/in/96982-46178</t>
        </r>
      </text>
    </comment>
    <comment ref="J53" authorId="1" shapeId="0" xr:uid="{79F87785-5826-4930-8AF0-DE85020B5DDE}">
      <text>
        <r>
          <rPr>
            <sz val="10"/>
            <rFont val="Arial"/>
            <family val="2"/>
          </rPr>
          <t>Geolocalizzazione integrata. Tipo: Rappresentativo su via. Affidabilita: MEDIA. Fonte/criterio: Via John Fitzgerald Kennedy, area civici 15-17. Coordinate rappresentative del tratto di Via Kennedy; indirizzo 15-17 confermato da fonti pubbliche. URL: https://www.italiamappe.it/stradario/reggio-nell%27emilia/via-john-fitzgerald-kennedy/</t>
        </r>
      </text>
    </comment>
    <comment ref="K53" authorId="1" shapeId="0" xr:uid="{484B4700-2A73-4A3B-8CA6-B0AE51268BA9}">
      <text>
        <r>
          <rPr>
            <sz val="10"/>
            <rFont val="Arial"/>
            <family val="2"/>
          </rPr>
          <t>Geolocalizzazione integrata. Tipo: Rappresentativo su via. Affidabilita: MEDIA. Fonte/criterio: Via John Fitzgerald Kennedy, area civici 15-17. Coordinate rappresentative del tratto di Via Kennedy; indirizzo 15-17 confermato da fonti pubbliche. URL: https://www.italiamappe.it/stradario/reggio-nell%27emilia/via-john-fitzgerald-kennedy/</t>
        </r>
      </text>
    </comment>
    <comment ref="J56" authorId="1" shapeId="0" xr:uid="{5FDB7D4E-8AE9-45AB-BD10-F671D450FBC2}">
      <text>
        <r>
          <rPr>
            <sz val="10"/>
            <rFont val="Arial"/>
            <family val="2"/>
          </rPr>
          <t>Geolocalizzazione integrata. Tipo: Puntuale. Affidabilita: ALTA. Fonte/criterio: Palazzo dei Musei, Via Lazzaro Spallanzani 1. Coordinate del Palazzo dei Musei/edificio. URL: https://cultura.gov.it/luogo/palazzo-dei-musei-reggio-emilia</t>
        </r>
      </text>
    </comment>
    <comment ref="K56" authorId="1" shapeId="0" xr:uid="{8FEB6820-736C-4629-8EB0-AD5E3BC619D0}">
      <text>
        <r>
          <rPr>
            <sz val="10"/>
            <rFont val="Arial"/>
            <family val="2"/>
          </rPr>
          <t>Geolocalizzazione integrata. Tipo: Puntuale. Affidabilita: ALTA. Fonte/criterio: Palazzo dei Musei, Via Lazzaro Spallanzani 1. Coordinate del Palazzo dei Musei/edificio. URL: https://cultura.gov.it/luogo/palazzo-dei-musei-reggio-emilia</t>
        </r>
      </text>
    </comment>
    <comment ref="J57" authorId="1" shapeId="0" xr:uid="{E8CE688B-95F9-4087-A8DD-903AFE57C59B}">
      <text>
        <r>
          <rPr>
            <sz val="10"/>
            <rFont val="Arial"/>
            <family val="2"/>
          </rPr>
          <t>Geolocalizzazione integrata. Tipo: Propagata per CUP. Affidabilita: ALTA. Fonte/criterio: Stesso CUP e stesso sito fisico della riga 56. Riga di spesa corrente collegata allo stesso CUP e al medesimo edificio. URL: https://cultura.gov.it/luogo/palazzo-dei-musei-reggio-emilia</t>
        </r>
      </text>
    </comment>
    <comment ref="K57" authorId="1" shapeId="0" xr:uid="{20E3958C-F67B-43A0-A52A-E1D8F53636A4}">
      <text>
        <r>
          <rPr>
            <sz val="10"/>
            <rFont val="Arial"/>
            <family val="2"/>
          </rPr>
          <t>Geolocalizzazione integrata. Tipo: Propagata per CUP. Affidabilita: ALTA. Fonte/criterio: Stesso CUP e stesso sito fisico della riga 56. Riga di spesa corrente collegata allo stesso CUP e al medesimo edificio. URL: https://cultura.gov.it/luogo/palazzo-dei-musei-reggio-emilia</t>
        </r>
      </text>
    </comment>
    <comment ref="J60" authorId="0" shapeId="0" xr:uid="{EA5815ED-0D4D-4674-8D66-7477BD10B9FD}">
      <text>
        <r>
          <rPr>
            <sz val="10"/>
            <rFont val="Arial"/>
            <family val="2"/>
          </rPr>
          <t>Raffaele Davolio:
Source: italiamappe.it, https://www.italiamappe.it/stradario/reggio-nell'emilia/via-pier-giacinto-terrachini/</t>
        </r>
      </text>
    </comment>
    <comment ref="K60" authorId="0" shapeId="0" xr:uid="{C4CCBA84-E61E-4ECA-B5EF-F68424A47002}">
      <text>
        <r>
          <rPr>
            <sz val="10"/>
            <rFont val="Arial"/>
            <family val="2"/>
          </rPr>
          <t>Raffaele Davolio:
Source: italiamappe.it, https://www.italiamappe.it/stradario/reggio-nell'emilia/via-pier-giacinto-terrachini/</t>
        </r>
      </text>
    </comment>
    <comment ref="J63" authorId="0" shapeId="0" xr:uid="{D06DB2F9-492C-4D01-81C0-DFB13F012583}">
      <text>
        <r>
          <rPr>
            <sz val="10"/>
            <rFont val="Arial"/>
            <family val="2"/>
          </rPr>
          <t>Raffaele Davolio:
Source: italiamappe.it, https://www.italiamappe.it/stradario/reggio-nell'emilia/via-giuseppe-galliano/</t>
        </r>
      </text>
    </comment>
    <comment ref="K63" authorId="0" shapeId="0" xr:uid="{702F424C-E94C-4CBB-B3D0-3ED005BD13CA}">
      <text>
        <r>
          <rPr>
            <sz val="10"/>
            <rFont val="Arial"/>
            <family val="2"/>
          </rPr>
          <t>Raffaele Davolio:
Source: italiamappe.it, https://www.italiamappe.it/stradario/reggio-nell'emilia/via-giuseppe-galliano/</t>
        </r>
      </text>
    </comment>
    <comment ref="J64" authorId="1" shapeId="0" xr:uid="{7A402423-D3AA-4660-A601-26AD43451553}">
      <text>
        <r>
          <rPr>
            <sz val="10"/>
            <rFont val="Arial"/>
            <family val="2"/>
          </rPr>
          <t>Geolocalizzazione integrata. Tipo: Rappresentativo su via. Affidabilita: MEDIA. Fonte/criterio: Via Werter Asseverati / area ex GOLD. Punto rappresentativo lungo Via Asseverati; area produttiva est. URL: https://www.italiamappe.it/stradario/reggio-nell%27emilia/</t>
        </r>
      </text>
    </comment>
    <comment ref="K64" authorId="1" shapeId="0" xr:uid="{7052B044-A19F-4BEC-91DA-219743185EAC}">
      <text>
        <r>
          <rPr>
            <sz val="10"/>
            <rFont val="Arial"/>
            <family val="2"/>
          </rPr>
          <t>Geolocalizzazione integrata. Tipo: Rappresentativo su via. Affidabilita: MEDIA. Fonte/criterio: Via Werter Asseverati / area ex GOLD. Punto rappresentativo lungo Via Asseverati; area produttiva est. URL: https://www.italiamappe.it/stradario/reggio-nell%27emilia/</t>
        </r>
      </text>
    </comment>
    <comment ref="J67" authorId="1" shapeId="0" xr:uid="{E5C8143D-198C-44D6-A2BD-A5E502B28A3A}">
      <text>
        <r>
          <rPr>
            <sz val="10"/>
            <rFont val="Arial"/>
            <family val="2"/>
          </rPr>
          <t>Geolocalizzazione integrata. Tipo: Puntuale stimato. Affidabilita: MEDIA. Fonte/criterio: Nido Allende, Via Gattalupa 5. Indirizzo ufficiale; punto ricostruito dai civici adiacenti della stessa via. URL: https://www.provincia.re.it/</t>
        </r>
      </text>
    </comment>
    <comment ref="K67" authorId="1" shapeId="0" xr:uid="{DFC64071-33CC-442F-ACC2-73C0C2C3D40B}">
      <text>
        <r>
          <rPr>
            <sz val="10"/>
            <rFont val="Arial"/>
            <family val="2"/>
          </rPr>
          <t>Geolocalizzazione integrata. Tipo: Puntuale stimato. Affidabilita: MEDIA. Fonte/criterio: Nido Allende, Via Gattalupa 5. Indirizzo ufficiale; punto ricostruito dai civici adiacenti della stessa via. URL: https://www.provincia.re.it/</t>
        </r>
      </text>
    </comment>
    <comment ref="J68" authorId="1" shapeId="0" xr:uid="{9803755E-8727-493F-9EEC-DFBD99939F10}">
      <text>
        <r>
          <rPr>
            <sz val="10"/>
            <rFont val="Arial"/>
            <family val="2"/>
          </rPr>
          <t>Geolocalizzazione integrata. Tipo: Puntuale. Affidabilita: ALTA. Fonte/criterio: Nido Bellelli, Via G. Puccini 28. Coordinata associata al civico 28. URL: https://www.reteimprese.it/</t>
        </r>
      </text>
    </comment>
    <comment ref="K68" authorId="1" shapeId="0" xr:uid="{BD2D65A8-B71C-4071-B512-315C5A43F386}">
      <text>
        <r>
          <rPr>
            <sz val="10"/>
            <rFont val="Arial"/>
            <family val="2"/>
          </rPr>
          <t>Geolocalizzazione integrata. Tipo: Puntuale. Affidabilita: ALTA. Fonte/criterio: Nido Bellelli, Via G. Puccini 28. Coordinata associata al civico 28. URL: https://www.reteimprese.it/</t>
        </r>
      </text>
    </comment>
    <comment ref="J69" authorId="1" shapeId="0" xr:uid="{5F59A244-8F25-4BDB-B741-BF4C0E7FC0FB}">
      <text>
        <r>
          <rPr>
            <sz val="10"/>
            <rFont val="Arial"/>
            <family val="2"/>
          </rPr>
          <t>Geolocalizzazione integrata. Tipo: Puntuale. Affidabilita: ALTA. Fonte/criterio: Nido scuola O. Sarzi, Via Guasco 10. Coordinate del civico/edificio. URL: https://www.blia.it/</t>
        </r>
      </text>
    </comment>
    <comment ref="K69" authorId="1" shapeId="0" xr:uid="{66A842A7-ABB7-400C-99F5-671E5EB2A813}">
      <text>
        <r>
          <rPr>
            <sz val="10"/>
            <rFont val="Arial"/>
            <family val="2"/>
          </rPr>
          <t>Geolocalizzazione integrata. Tipo: Puntuale. Affidabilita: ALTA. Fonte/criterio: Nido scuola O. Sarzi, Via Guasco 10. Coordinate del civico/edificio. URL: https://www.blia.it/</t>
        </r>
      </text>
    </comment>
    <comment ref="J70" authorId="1" shapeId="0" xr:uid="{1BC6F26F-271B-42FB-B0F9-1FEB50A2B53B}">
      <text>
        <r>
          <rPr>
            <sz val="10"/>
            <rFont val="Arial"/>
            <family val="2"/>
          </rPr>
          <t>Geolocalizzazione integrata. Tipo: Rappresentativo su via. Affidabilita: MEDIA. Fonte/criterio: Via Pinotti. Punto rappresentativo del ponte su Via Pinotti/tangenziale. URL: https://www.italiamappe.it/stradario/reggio-nell%27emilia/</t>
        </r>
      </text>
    </comment>
    <comment ref="K70" authorId="1" shapeId="0" xr:uid="{AE575552-60A5-418E-BE9B-A6AB6D71042F}">
      <text>
        <r>
          <rPr>
            <sz val="10"/>
            <rFont val="Arial"/>
            <family val="2"/>
          </rPr>
          <t>Geolocalizzazione integrata. Tipo: Rappresentativo su via. Affidabilita: MEDIA. Fonte/criterio: Via Pinotti. Punto rappresentativo del ponte su Via Pinotti/tangenziale. URL: https://www.italiamappe.it/stradario/reggio-nell%27emilia/</t>
        </r>
      </text>
    </comment>
    <comment ref="J71" authorId="1" shapeId="0" xr:uid="{494DB90E-5D96-49BF-ABAB-16562EB4AC3E}">
      <text>
        <r>
          <rPr>
            <sz val="10"/>
            <rFont val="Arial"/>
            <family val="2"/>
          </rPr>
  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  </r>
      </text>
    </comment>
    <comment ref="K71" authorId="1" shapeId="0" xr:uid="{659F7DCD-A923-46C9-A277-24F8B4FB6286}">
      <text>
        <r>
          <rPr>
            <sz val="10"/>
            <rFont val="Arial"/>
            <family val="2"/>
          </rPr>
  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  </r>
      </text>
    </comment>
    <comment ref="J72" authorId="1" shapeId="0" xr:uid="{0A62AD9D-F1DC-4369-B14A-006E4B28531A}">
      <text>
        <r>
          <rPr>
            <sz val="10"/>
            <rFont val="Arial"/>
            <family val="2"/>
          </rPr>
  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  </r>
      </text>
    </comment>
    <comment ref="K72" authorId="1" shapeId="0" xr:uid="{605407F4-1998-40EF-9844-E8BBA0AC1EF3}">
      <text>
        <r>
          <rPr>
            <sz val="10"/>
            <rFont val="Arial"/>
            <family val="2"/>
          </rPr>
  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  </r>
      </text>
    </comment>
    <comment ref="J73" authorId="1" shapeId="0" xr:uid="{904FACBD-8AC0-4BCE-80F1-3F041C7938D0}">
      <text>
        <r>
          <rPr>
            <sz val="10"/>
            <rFont val="Arial"/>
            <family val="2"/>
          </rPr>
  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  </r>
      </text>
    </comment>
    <comment ref="K73" authorId="1" shapeId="0" xr:uid="{CA7AAC97-6A22-46A2-8FB1-725FC91067A9}">
      <text>
        <r>
          <rPr>
            <sz val="10"/>
            <rFont val="Arial"/>
            <family val="2"/>
          </rPr>
          <t>Geolocalizzazione integrata. Tipo: Rappresentativo lineare. Affidabilita: BASSA. Fonte/criterio: Viale dei Trattati di Roma, area nord. Lotto ponti Area Nord: punto rappresentativo sul viale; non distingue il singolo manufatto. URL: https://www.mappepercorsi.it/genova-montecavolo-pianificatore-di-itinerario-google-google-map/</t>
        </r>
      </text>
    </comment>
    <comment ref="J74" authorId="1" shapeId="0" xr:uid="{37EDF1CF-A3E0-45EF-B7E4-0021BFA48656}">
      <text>
        <r>
          <rPr>
            <sz val="10"/>
            <rFont val="Arial"/>
            <family val="2"/>
          </rPr>
          <t>Geolocalizzazione integrata. Tipo: Rappresentativo su via. Affidabilita: MEDIA. Fonte/criterio: Via Werter Asseverati. Punto rappresentativo del ponte/barriere lungo Via Asseverati. URL: https://www.italiamappe.it/stradario/reggio-nell%27emilia/</t>
        </r>
      </text>
    </comment>
    <comment ref="K74" authorId="1" shapeId="0" xr:uid="{BB1A6C0B-B5F5-42FF-80D3-20CA9B4F604B}">
      <text>
        <r>
          <rPr>
            <sz val="10"/>
            <rFont val="Arial"/>
            <family val="2"/>
          </rPr>
          <t>Geolocalizzazione integrata. Tipo: Rappresentativo su via. Affidabilita: MEDIA. Fonte/criterio: Via Werter Asseverati. Punto rappresentativo del ponte/barriere lungo Via Asseverati. URL: https://www.italiamappe.it/stradario/reggio-nell%27emilia/</t>
        </r>
      </text>
    </comment>
    <comment ref="J75" authorId="1" shapeId="0" xr:uid="{886B4469-AB3D-465C-BAA9-0B4F3D90AB03}">
      <text>
        <r>
          <rPr>
            <sz val="10"/>
            <rFont val="Arial"/>
            <family val="2"/>
          </rPr>
          <t>Geolocalizzazione integrata. Tipo: Puntuale/area. Affidabilita: ALTA. Fonte/criterio: Via Karl Marx, riferimento cartografico da documentazione territoriale. Coordinate WGS84 pubblicate per punti di monitoraggio su Via Karl Marx; usate come riferimento dell opera. URL: https://www.slideshare.net/slideshow/cre02-presentazione-sia-rp-rev-b/40194553</t>
        </r>
      </text>
    </comment>
    <comment ref="K75" authorId="1" shapeId="0" xr:uid="{F2CA46BC-42AA-4CAF-BDF3-7C5A8DCC7341}">
      <text>
        <r>
          <rPr>
            <sz val="10"/>
            <rFont val="Arial"/>
            <family val="2"/>
          </rPr>
          <t>Geolocalizzazione integrata. Tipo: Puntuale/area. Affidabilita: ALTA. Fonte/criterio: Via Karl Marx, riferimento cartografico da documentazione territoriale. Coordinate WGS84 pubblicate per punti di monitoraggio su Via Karl Marx; usate come riferimento dell opera. URL: https://www.slideshare.net/slideshow/cre02-presentazione-sia-rp-rev-b/40194553</t>
        </r>
      </text>
    </comment>
    <comment ref="J78" authorId="1" shapeId="0" xr:uid="{46D8118D-665A-428E-8798-A046060759C5}">
      <text>
        <r>
          <rPr>
            <sz val="10"/>
            <rFont val="Arial"/>
            <family val="2"/>
          </rPr>
          <t>Geolocalizzazione integrata. Tipo: Puntuale. Affidabilita: ALTA. Fonte/criterio: Scuola San Giovanni Bosco, Via Bismantova 23. Coordinate del civico/edificio scolastico. URL: https://www.comune.reggioemilia.it/</t>
        </r>
      </text>
    </comment>
    <comment ref="K78" authorId="1" shapeId="0" xr:uid="{4E90498C-19E8-4EAA-B9CA-54042783B1F3}">
      <text>
        <r>
          <rPr>
            <sz val="10"/>
            <rFont val="Arial"/>
            <family val="2"/>
          </rPr>
          <t>Geolocalizzazione integrata. Tipo: Puntuale. Affidabilita: ALTA. Fonte/criterio: Scuola San Giovanni Bosco, Via Bismantova 23. Coordinate del civico/edificio scolastico. URL: https://www.comune.reggioemilia.it/</t>
        </r>
      </text>
    </comment>
    <comment ref="J82" authorId="1" shapeId="0" xr:uid="{CE8CD6AB-682A-4DC6-AB97-DC6949385518}">
      <text>
        <r>
          <rPr>
            <sz val="10"/>
            <rFont val="Arial"/>
            <family val="2"/>
          </rPr>
          <t>Geolocalizzazione integrata. Tipo: Puntuale. Affidabilita: ALTA. Fonte/criterio: Centro Internazionale Loris Malaguzzi, Viale Ramazzini 72/A. Coordinate pubblicate in banca dati culturale; indirizzo confermato dal Comune. URL: https://censimentoarchitetturecontemporanee.cultura.gov.it/</t>
        </r>
      </text>
    </comment>
    <comment ref="K82" authorId="1" shapeId="0" xr:uid="{3DC3FD28-302E-4223-9C4B-344733CC9A50}">
      <text>
        <r>
          <rPr>
            <sz val="10"/>
            <rFont val="Arial"/>
            <family val="2"/>
          </rPr>
          <t>Geolocalizzazione integrata. Tipo: Puntuale. Affidabilita: ALTA. Fonte/criterio: Centro Internazionale Loris Malaguzzi, Viale Ramazzini 72/A. Coordinate pubblicate in banca dati culturale; indirizzo confermato dal Comune. URL: https://censimentoarchitetturecontemporanee.cultura.gov.it/</t>
        </r>
      </text>
    </comment>
    <comment ref="J83" authorId="1" shapeId="0" xr:uid="{BFF576FF-F8FA-426A-9678-773A41B22BF0}">
      <text>
        <r>
          <rPr>
            <sz val="10"/>
            <rFont val="Arial"/>
            <family val="2"/>
          </rPr>
          <t>Geolocalizzazione integrata. Tipo: Puntuale. Affidabilita: ALTA. Fonte/criterio: Centro Internazionale Loris Malaguzzi, Viale Ramazzini 72/A. Stesso edificio della riga 80. URL: https://censimentoarchitetturecontemporanee.cultura.gov.it/</t>
        </r>
      </text>
    </comment>
    <comment ref="K83" authorId="1" shapeId="0" xr:uid="{FE963840-3A93-4E38-BCB7-28ECDA782E13}">
      <text>
        <r>
          <rPr>
            <sz val="10"/>
            <rFont val="Arial"/>
            <family val="2"/>
          </rPr>
          <t>Geolocalizzazione integrata. Tipo: Puntuale. Affidabilita: ALTA. Fonte/criterio: Centro Internazionale Loris Malaguzzi, Viale Ramazzini 72/A. Stesso edificio della riga 80. URL: https://censimentoarchitetturecontemporanee.cultura.gov.it/</t>
        </r>
      </text>
    </comment>
    <comment ref="H86" authorId="1" shapeId="0" xr:uid="{23735440-482B-4186-867E-85921DD8ECF1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86" authorId="1" shapeId="0" xr:uid="{7453A0C3-00A0-4F61-AE2A-3E2B89244F52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86" authorId="1" shapeId="0" xr:uid="{D57EE7A1-0AE1-40D7-BBB4-A33C863566C9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87" authorId="1" shapeId="0" xr:uid="{3E1E9620-7C67-4D96-95B2-2EA21F1FFD9C}">
      <text>
        <r>
          <rPr>
            <sz val="10"/>
            <rFont val="Arial"/>
            <family val="2"/>
          </rPr>
          <t>Termine massimo generale PA digitale 2026. Fonte: PA digitale 2026 / D. 39/2025 e D. 29/2026. Avviso App IO maggio 2024 finanziato; usato il termine massimo generale vigente. Eventuale proroga individuale va verificata in area riservata. URL: https://www.padigitale2026.gov.it/novita/notizie/aggiornamento-modalita-di-richiesta-proroga-per-i-progetti-finanziati-con-avvisi-a-lump-sum</t>
        </r>
      </text>
    </comment>
    <comment ref="J87" authorId="1" shapeId="0" xr:uid="{15CA3C1E-7CC0-448E-80A9-EF55D3A0C0D5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87" authorId="1" shapeId="0" xr:uid="{DD27AF8F-396A-454F-84E1-20357FB6CC86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88" authorId="1" shapeId="0" xr:uid="{D99FD5D4-ABDA-4D23-B4C1-D755D8C2BD2E}">
      <text>
        <r>
          <rPr>
            <sz val="10"/>
            <rFont val="Arial"/>
            <family val="2"/>
          </rPr>
          <t>Termine finale previsto specifico. Fonte: Comune di Reggio Emilia - monitoraggio PNRR. CUP verificato anche nel decreto di finanziamento PA digitale 2026.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88" authorId="1" shapeId="0" xr:uid="{644FA5A8-132C-439F-B910-0949A49FDC16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88" authorId="1" shapeId="0" xr:uid="{55D7E55E-63F7-47F9-894A-2E60930BBFD1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89" authorId="1" shapeId="0" xr:uid="{4131DF1D-6AB4-4AE4-879E-CDD8872AAC2E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89" authorId="1" shapeId="0" xr:uid="{E34F7036-CA1F-436A-95A0-C6769E7BB1F3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89" authorId="1" shapeId="0" xr:uid="{DC6E302D-53E9-4923-9E6A-30B86DBCA049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0" authorId="1" shapeId="0" xr:uid="{AC442976-63D6-45C7-A793-B432DC5C2779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0" authorId="1" shapeId="0" xr:uid="{46D11260-ABC1-4510-8B4C-1359C2492293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0" authorId="1" shapeId="0" xr:uid="{BE58DF28-468A-404E-82E9-C413D54DFE96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1" authorId="1" shapeId="0" xr:uid="{255DF1DD-042A-4554-90FB-49D9DB39D827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comunale; coerente con il termine massimo generale PA digitale 2026 del 31/03/2026.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1" authorId="1" shapeId="0" xr:uid="{E4D857F2-A3D7-4869-ADD4-C14BE798E6B7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1" authorId="1" shapeId="0" xr:uid="{AD9EE7F8-C918-461C-9F8F-B6984EEA764A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2" authorId="1" shapeId="0" xr:uid="{CCCB93DC-799A-483E-B103-113152C8BF6D}">
      <text>
        <r>
          <rPr>
            <sz val="10"/>
            <rFont val="Arial"/>
            <family val="2"/>
          </rPr>
          <t>Termine finale previsto specifico. Fonte: Comune di Reggio Emilia - monitoraggio PNRR. Misura non trattata come avviso lump sum DTD; usato il termine specifico del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2" authorId="1" shapeId="0" xr:uid="{0F2064ED-8349-4BA0-9E11-68518E870A73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2" authorId="1" shapeId="0" xr:uid="{E6E5DC59-72B3-48F6-8D63-B0E75360ED07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3" authorId="1" shapeId="0" xr:uid="{256CA1DD-EBD5-4809-B06C-81DB126341A6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3" authorId="1" shapeId="0" xr:uid="{7B0CD4BF-8A4D-4608-BE80-95E1E37E670A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3" authorId="1" shapeId="0" xr:uid="{10E1E8F9-4013-4A4E-8BFC-D7696A9E26A2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4" authorId="1" shapeId="0" xr:uid="{F7ADA30C-8BEB-4CBB-9BFE-77D49A6FE4F4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4" authorId="1" shapeId="0" xr:uid="{E15CC997-FD3B-421E-9100-25849F716EE6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4" authorId="1" shapeId="0" xr:uid="{57FCD218-FCD8-46C8-9F65-B976363B54FF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5" authorId="1" shapeId="0" xr:uid="{3641B178-784E-4DB8-9CF7-12988B2FEC9C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nel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5" authorId="1" shapeId="0" xr:uid="{8D9A18F0-E2DA-4B43-ACE5-83F91C4E8E90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5" authorId="1" shapeId="0" xr:uid="{A3B97D61-174D-486F-940F-D28257EE1540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6" authorId="1" shapeId="0" xr:uid="{900E30E4-2ADB-4C62-8F76-C418471019E7}">
      <text>
        <r>
          <rPr>
            <sz val="10"/>
            <rFont val="Arial"/>
            <family val="2"/>
          </rPr>
          <t>Termine massimo generale PA digitale 2026. Fonte: PA digitale 2026 - FAQ ANNCSU / D. 39/2025. La FAQ ANNCSU conferma esplicitamente il termine massimo del 31/03/2026. URL: https://padigitale2026.gov.it/supporto/domande-frequenti/misure-e-avvisi/tempistiche-contrattuali-e-completamento-progetto</t>
        </r>
      </text>
    </comment>
    <comment ref="J96" authorId="1" shapeId="0" xr:uid="{4B27C61E-3CE4-4E48-B383-517B57487DCF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6" authorId="1" shapeId="0" xr:uid="{6865732E-721D-4DA5-A64F-56E2B132D1D4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7" authorId="1" shapeId="0" xr:uid="{0E024E48-15FB-45E6-8538-D2CB2C8E463D}">
      <text>
        <r>
          <rPr>
            <sz val="10"/>
            <rFont val="Arial"/>
            <family val="2"/>
          </rPr>
          <t>Termine finale previsto specifico. Fonte: Comune di Reggio Emilia - monitoraggio PNRR. Intervento Cybersecurity: termine specifico del monitoraggio comunale.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7" authorId="1" shapeId="0" xr:uid="{4E6D7DE6-0996-4117-87B2-081117EF6571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7" authorId="1" shapeId="0" xr:uid="{4BA9B1B6-BA47-4BF9-BFFB-ED2AD9704130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98" authorId="1" shapeId="0" xr:uid="{40ADB870-FEBC-40CD-B575-024A796C208A}">
      <text>
        <r>
          <rPr>
            <sz val="10"/>
            <rFont val="Arial"/>
            <family val="2"/>
          </rPr>
          <t>Termine aggiornato del progetto. Fonte: Comune di Reggio Emilia / Regione Emilia-Romagna. La pagina comunale aggiornata al 16/04/2026 indica: il progetto si conclude il 30 aprile 2026. URL: https://www.comune.reggioemilia.it/argomenti/attuazione-misure-pnrr/missione-1-1/pnrr-m1c1-2013-i1-7-digitale-facile-in-emilia-romagna-centri-di-facilitazione-digitale</t>
        </r>
      </text>
    </comment>
    <comment ref="H99" authorId="1" shapeId="0" xr:uid="{41B934C4-1E69-4F1A-8C4D-DD3B4B02E8C7}">
      <text>
        <r>
          <rPr>
            <sz val="10"/>
            <rFont val="Arial"/>
            <family val="2"/>
          </rPr>
          <t>Termine finale previsto specifico. Fonte: Comune di Reggio Emilia - monitoraggio PNRR. Scadenza specifica pubblicata per il progetto SUAP &amp; SUE. URL: https://www.comune.reggioemilia.it/amministrazione-trasparente/controlli-e-rilievi-sullamministrazione/organi-di-revisione-amministrativa-e-contabile/collegio-dei-revisori-verbale-n-44-parere-sul-bilancio-di-previsione-2025-27-pdf.pdf</t>
        </r>
      </text>
    </comment>
    <comment ref="J99" authorId="1" shapeId="0" xr:uid="{C56480F7-937F-4EE8-8E79-10592410543B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99" authorId="1" shapeId="0" xr:uid="{CB84D6E0-237E-434D-94F8-A891374070BF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100" authorId="1" shapeId="0" xr:uid="{3A2E05A1-67D6-4F6A-B5BD-46310D1503D5}">
      <text>
        <r>
          <rPr>
            <sz val="10"/>
            <rFont val="Arial"/>
            <family val="2"/>
          </rPr>
          <t>Da verificare in area riservata. Fonte: PA digitale 2026 / Dipartimento Funzione Pubblica. Secondo avviso SUAP: il termine puntuale dipende dalla notifica/decreto associato alla candidatura. La data specifica del CUP non risulta esposta nei dati pubblici consultabili. URL: https://presidenza.governo.it/AmministrazioneTrasparente/Sovvenzioni/CriteriModalita/</t>
        </r>
      </text>
    </comment>
    <comment ref="J100" authorId="1" shapeId="0" xr:uid="{E0BD9C7A-1D7C-416F-A32D-0145C72FADAD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100" authorId="1" shapeId="0" xr:uid="{DE2E6335-0F26-4E4D-8CDC-16B02F2B5FA0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101" authorId="1" shapeId="0" xr:uid="{A66F6077-2B99-4F1B-B2C6-3630B3F4115A}">
      <text>
        <r>
          <rPr>
            <sz val="10"/>
            <rFont val="Arial"/>
            <family val="2"/>
          </rPr>
          <t>Da verificare in area riservata. Fonte: PA digitale 2026 / Dipartimento Funzione Pubblica. Secondo avviso SUAP Enti Terzi: il termine puntuale dipende dalla notifica/decreto associato alla candidatura. La data specifica del CUP non risulta esposta nei dati pubblici consultabili. URL: https://presidenza.governo.it/AmministrazioneTrasparente/Sovvenzioni/CriteriModalita/</t>
        </r>
      </text>
    </comment>
    <comment ref="J101" authorId="1" shapeId="0" xr:uid="{A778236F-8BC1-4F64-AA9F-C41D4F8B1B22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101" authorId="1" shapeId="0" xr:uid="{A392E736-D44F-4958-BBC9-7378DCB0A540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102" authorId="1" shapeId="0" xr:uid="{906F9B11-4C31-4807-B850-9EEEB554FEFD}">
      <text>
        <r>
          <rPr>
            <sz val="10"/>
            <rFont val="Arial"/>
            <family val="2"/>
          </rPr>
          <t>Termine calcolato da decreto. Fonte: Dipartimento Funzione Pubblica / PA digitale 2026. SUE: 120 giorni dalla pubblicazione del decreto di ammissione (14/11/2025). Data calcolata: 14/03/2026; verificare eventuale diversa data di notifica registrata in area riservata. URL: https://presidenza.governo.it/AmministrazioneTrasparente/Sovvenzioni/CriteriModalita/</t>
        </r>
      </text>
    </comment>
    <comment ref="J102" authorId="1" shapeId="0" xr:uid="{C7A95B62-5FF4-4F5D-9828-845E0111A74D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102" authorId="1" shapeId="0" xr:uid="{FDF66CFE-4B8F-4042-A4BB-5C09AA644817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103" authorId="1" shapeId="0" xr:uid="{872B912A-529A-42FF-8153-27E2C8D5C0E6}">
      <text>
        <r>
          <rPr>
            <sz val="10"/>
            <rFont val="Arial"/>
            <family val="2"/>
          </rPr>
          <t>Termine calcolato da decreto. Fonte: Dipartimento Funzione Pubblica / PA digitale 2026. Interoperabilita sistemi gestionali RU: 90 giorni dal decreto definitivo del 12/03/2026. Data calcolata: 10/06/2026; verificare data di notifica in area riservata se rilevante. URL: https://presidenza.governo.it/AmministrazioneTrasparente/Sovvenzioni/CriteriModalita/</t>
        </r>
      </text>
    </comment>
    <comment ref="J103" authorId="1" shapeId="0" xr:uid="{790E5580-F490-4DB7-9135-D7FAF7654E43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K103" authorId="1" shapeId="0" xr:uid="{95C45D87-AF6A-492F-A2FB-2D0E036A85B9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digitale senza sede fisica: localizzazione convenzionale presso CUED. URL: https://www.comune.reggioemilia.it/</t>
        </r>
      </text>
    </comment>
    <comment ref="H104" authorId="1" shapeId="0" xr:uid="{65A5F880-A326-4C7E-B283-6AF4A6F07A9B}">
      <text>
        <r>
          <rPr>
            <sz val="10"/>
            <rFont val="Arial"/>
            <family val="2"/>
          </rPr>
          <t>Termine calcolato da decreto. Fonte: Dipartimento Funzione Pubblica / PA digitale 2026. SUAP &amp; SUE 2025: 270 giorni dalla pubblicazione del decreto di finanziamento del 18/04/2025. Data calcolata: 13/01/2026; verificare eventuale diversa data di notifica in area riservata. URL: https://presidenza.governo.it/AmministrazioneTrasparente/Sovvenzioni/CriteriModalita/</t>
        </r>
      </text>
    </comment>
    <comment ref="J104" authorId="1" shapeId="0" xr:uid="{B8DF4AAD-CAD3-4D9E-B51A-EAC4A482F319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SUAP/SUE digitale: sede convenzionale CUED, non sede fisica del progetto. URL: https://www.comune.reggioemilia.it/</t>
        </r>
      </text>
    </comment>
    <comment ref="K104" authorId="1" shapeId="0" xr:uid="{3E7516BC-83E6-467E-82CC-9E1690902B26}">
      <text>
        <r>
          <rPr>
            <sz val="10"/>
            <rFont val="Arial"/>
            <family val="2"/>
          </rPr>
          <t>Geolocalizzazione integrata. Tipo: Convenzionale. Affidabilita: CONVENZIONALE. Fonte/criterio: Sede CUED/Sistemi Informativi, Piazza Pietro Scapinelli 2. Progetto SUAP/SUE digitale: sede convenzionale CUED, non sede fisica del progetto. URL: https://www.comune.reggioemilia.it/</t>
        </r>
      </text>
    </comment>
    <comment ref="J107" authorId="1" shapeId="0" xr:uid="{0DA2A9FE-18A7-40D7-984A-786547806030}">
      <text>
        <r>
          <rPr>
            <sz val="10"/>
            <rFont val="Arial"/>
            <family val="2"/>
          </rPr>
          <t>Geolocalizzazione integrata. Tipo: Puntuale. Affidabilita: ALTA. Fonte/criterio: SETA, Via del Chionso 50. Coordinate della sede/impianto SETA. URL: https://www.reteimprese.it/</t>
        </r>
      </text>
    </comment>
    <comment ref="K107" authorId="1" shapeId="0" xr:uid="{BDEE2EC9-1765-4865-B124-58CB1AB61C64}">
      <text>
        <r>
          <rPr>
            <sz val="10"/>
            <rFont val="Arial"/>
            <family val="2"/>
          </rPr>
          <t>Geolocalizzazione integrata. Tipo: Puntuale. Affidabilita: ALTA. Fonte/criterio: SETA, Via del Chionso 50. Coordinate della sede/impianto SETA. URL: https://www.reteimprese.it/</t>
        </r>
      </text>
    </comment>
    <comment ref="J110" authorId="1" shapeId="0" xr:uid="{8389A122-72DE-4207-997F-8D7003126AB5}">
      <text>
        <r>
          <rPr>
            <sz val="10"/>
            <rFont val="Arial"/>
            <family val="2"/>
          </rPr>
          <t>Geolocalizzazione integrata. Tipo: Rappresentativo area. Affidabilita: ALTA. Fonte/criterio: Piazzale Europa. Punto rappresentativo del Piazzale Europa. URL: https://www.distancesfrom.com/it/Piazzale-Europa-latitude-longitude-Piazzale-Europa-latitude-Piazzale-Europa-longitude/LatLongHistory/14034637.aspx</t>
        </r>
      </text>
    </comment>
    <comment ref="K110" authorId="1" shapeId="0" xr:uid="{F219B9E5-93A3-4F10-B9C2-CB180D4DB745}">
      <text>
        <r>
          <rPr>
            <sz val="10"/>
            <rFont val="Arial"/>
            <family val="2"/>
          </rPr>
          <t>Geolocalizzazione integrata. Tipo: Rappresentativo area. Affidabilita: ALTA. Fonte/criterio: Piazzale Europa. Punto rappresentativo del Piazzale Europa. URL: https://www.distancesfrom.com/it/Piazzale-Europa-latitude-longitude-Piazzale-Europa-latitude-Piazzale-Europa-longitude/LatLongHistory/14034637.aspx</t>
        </r>
      </text>
    </comment>
    <comment ref="J121" authorId="1" shapeId="0" xr:uid="{EE1E18D4-63FD-4167-96B0-FACFCC6B130B}">
      <text>
        <r>
          <rPr>
            <sz val="10"/>
            <rFont val="Arial"/>
            <family val="2"/>
          </rPr>
          <t>Geolocalizzazione integrata. Tipo: Propagata per CUP. Affidabilita: MEDIA. Fonte/criterio: Stesso CUP della riga 50; progetto multisito. Attivita corrente collegata allo stesso CUP; marker rappresentativo Via Brigata Reggio 30.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  </r>
      </text>
    </comment>
    <comment ref="K121" authorId="1" shapeId="0" xr:uid="{DEAAF2ED-9D64-4F68-A002-7FFA7F208BFD}">
      <text>
        <r>
          <rPr>
            <sz val="10"/>
            <rFont val="Arial"/>
            <family val="2"/>
          </rPr>
          <t>Geolocalizzazione integrata. Tipo: Propagata per CUP. Affidabilita: MEDIA. Fonte/criterio: Stesso CUP della riga 50; progetto multisito. Attivita corrente collegata allo stesso CUP; marker rappresentativo Via Brigata Reggio 30. URL: 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      </r>
      </text>
    </comment>
    <comment ref="J126" authorId="1" shapeId="0" xr:uid="{F101D794-2D88-4338-A50E-828AD6873E91}">
      <text>
        <r>
          <rPr>
            <sz val="10"/>
            <rFont val="Arial"/>
            <family val="2"/>
          </rPr>
          <t>Geolocalizzazione integrata. Tipo: Propagata per CUP. Affidabilita: BASSA. Fonte/criterio: Stesso CUP della riga 52, immobile Via Dalmazia 85. Attivita corrente collegata al progetto fisico della riga 52. URL: https://www.blia.it/in/96982-46178</t>
        </r>
      </text>
    </comment>
    <comment ref="K126" authorId="1" shapeId="0" xr:uid="{90DF2F15-DEAC-4066-8A10-41052B2B86D2}">
      <text>
        <r>
          <rPr>
            <sz val="10"/>
            <rFont val="Arial"/>
            <family val="2"/>
          </rPr>
          <t>Geolocalizzazione integrata. Tipo: Propagata per CUP. Affidabilita: BASSA. Fonte/criterio: Stesso CUP della riga 52, immobile Via Dalmazia 85. Attivita corrente collegata al progetto fisico della riga 52. URL: https://www.blia.it/in/96982-46178</t>
        </r>
      </text>
    </comment>
    <comment ref="J127" authorId="1" shapeId="0" xr:uid="{CF46A43D-9439-4DB3-B113-291B9A510061}">
      <text>
        <r>
          <rPr>
            <sz val="10"/>
            <rFont val="Arial"/>
            <family val="2"/>
          </rPr>
          <t>Geolocalizzazione integrata. Tipo: Propagata per CUP. Affidabilita: MEDIA. Fonte/criterio: Stesso CUP della riga 53, Via Kennedy 15-17. Attivita corrente collegata al progetto fisico della riga 53. URL: https://www.italiamappe.it/stradario/reggio-nell%27emilia/via-john-fitzgerald-kennedy/</t>
        </r>
      </text>
    </comment>
    <comment ref="K127" authorId="1" shapeId="0" xr:uid="{717549B7-C54B-44A2-BAD3-340E79E311E8}">
      <text>
        <r>
          <rPr>
            <sz val="10"/>
            <rFont val="Arial"/>
            <family val="2"/>
          </rPr>
          <t>Geolocalizzazione integrata. Tipo: Propagata per CUP. Affidabilita: MEDIA. Fonte/criterio: Stesso CUP della riga 53, Via Kennedy 15-17. Attivita corrente collegata al progetto fisico della riga 53. URL: https://www.italiamappe.it/stradario/reggio-nell%27emilia/via-john-fitzgerald-kennedy/</t>
        </r>
      </text>
    </comment>
  </commentList>
</comments>
</file>

<file path=xl/sharedStrings.xml><?xml version="1.0" encoding="utf-8"?>
<sst xmlns="http://schemas.openxmlformats.org/spreadsheetml/2006/main" count="1288" uniqueCount="526">
  <si>
    <t>NOME PROGETTO</t>
  </si>
  <si>
    <t>CUP</t>
  </si>
  <si>
    <t>RUP</t>
  </si>
  <si>
    <t>LOCALIZZAZIONE</t>
  </si>
  <si>
    <t>IMPORTO TOTALE</t>
  </si>
  <si>
    <t>FONDI COMUNALI</t>
  </si>
  <si>
    <t>IMPORTO AMMESSO</t>
  </si>
  <si>
    <t>FOI</t>
  </si>
  <si>
    <t>IMPEGNATO REGIS
(cig, imprevisti
 E incentivi)</t>
  </si>
  <si>
    <t>ECONOMIE</t>
  </si>
  <si>
    <t>SPESA TOTALE</t>
  </si>
  <si>
    <t>SPESA AMMESSA</t>
  </si>
  <si>
    <t>MINISTERO DELL’INTERNO – RIGENERAZIONE URBANA</t>
  </si>
  <si>
    <t xml:space="preserve"> PNRR-M5C2-I2.1 Sviluppo del PRU Gardenia – ristrutturazione ex palestra in via Galliano</t>
  </si>
  <si>
    <t>J87H21003240001</t>
  </si>
  <si>
    <t>SALVATORE FALBO</t>
  </si>
  <si>
    <t>VIA GALLIANO</t>
  </si>
  <si>
    <t>PNRR-M5C2-I2.1 Riqualificazione e rigenerazione urbana del quadrante nord-est del centro storico di Reggio – riqualificazione dei Chiostri di San Domenico, secondo stralcio</t>
  </si>
  <si>
    <t>J84E21002050001</t>
  </si>
  <si>
    <t>MATTEO TANZI</t>
  </si>
  <si>
    <t>VIA ALIGHIERI</t>
  </si>
  <si>
    <t>PNRR-M5C2-I2.1 Quartiere Regina Pacis/Orologio - Riqualificazione delle attrezzature collettive di quartiere – intervento straordinario sul Teatro dell’Orologio</t>
  </si>
  <si>
    <t>J84E21002030001</t>
  </si>
  <si>
    <t>GIORGIA LOMBARDINI</t>
  </si>
  <si>
    <t>VIA MASSENET</t>
  </si>
  <si>
    <t>PNRR-M5C2-I2.1 Riqualificazione e rigenerazione urbana del quadrante nord-est del centro storico di Reggio – riqualificazione dei Chiostri di San Domenico, primo stralcio</t>
  </si>
  <si>
    <t>J84E21002040001</t>
  </si>
  <si>
    <t xml:space="preserve">PNRR-M5C2I2.1 QUARTIERE REGINA PACIS/OROLOGIO - RIQUALIFICAZIONE DEL PARCO DEL GELSO* </t>
  </si>
  <si>
    <t>J87H21003250005</t>
  </si>
  <si>
    <t>SAVERIO CIOCE</t>
  </si>
  <si>
    <t xml:space="preserve">varie vie
L’area di progetto situata tra via Belgio e via Danimarca, occupa una piccola parte, lungo il confine nord, del Parco Nilde Iotti, </t>
  </si>
  <si>
    <t>PNRR-M5C2-I2.1 Riqualificazione e rigenerazione urbana del quadrante nord-est del centro storico di Reggio – riqualificazione del Parco del Popolo</t>
  </si>
  <si>
    <t>J87H21003200005</t>
  </si>
  <si>
    <t>DANIELA PIVETTI</t>
  </si>
  <si>
    <t>VIA ISONZO</t>
  </si>
  <si>
    <t xml:space="preserve">PNRR-M5C2-I2.1 Riqualificazione e rigenerazione urbana del quadrante nord-est del centro storico di Reggio – riqualificazione di piazza del Popol Giost  </t>
  </si>
  <si>
    <t>J87H21003260001</t>
  </si>
  <si>
    <t>URSULA MONTANARI</t>
  </si>
  <si>
    <t>VIA ROMA</t>
  </si>
  <si>
    <t>PNRR-M5C2-I2.1 Riqualificazione ex Polveriera quartiere Mirabello – realizzazione del Bicilab, progetto connesso al PUMS</t>
  </si>
  <si>
    <t>J84E21002020005</t>
  </si>
  <si>
    <t>PAOLA VENTURELLI</t>
  </si>
  <si>
    <t>PIAZZALE REVERBERI</t>
  </si>
  <si>
    <t xml:space="preserve">PNRR-M5C2-I2.1 Progetto di rigenerazione urbana del quartiere Gattaglio - nuova passerella ciclopedonale sul torrente Crostolo  </t>
  </si>
  <si>
    <t>J81B21004260005</t>
  </si>
  <si>
    <t>CLAUDIA DI SANO</t>
  </si>
  <si>
    <t>varie vie
Passerella di collegamento tra il quartiere del Gattaglio ad est del torrente Crostolo con il quartiere Regina Pacis ad ovest</t>
  </si>
  <si>
    <t>PNRR-M5C2-I2.1 Riqualificazione e sicurezza della via Emilia a Pieve Modolena e Cella – completamento della ciclovia 1 ovest 
MISSIONE M5</t>
  </si>
  <si>
    <t>J81B21004040005</t>
  </si>
  <si>
    <t>varie vie
 via Emilia all’interno delle frazioni di Cella (pista ciclopedonale lungo il lato nord della via Emilia nel tratto compreso tra via Spartaco e via Guardanavona), Cadè  (Villa Cadè, adiacente al lato nord della via Emilia compreso tra via Quercioli e via Palladio) e Gaida (adiacente al lato nord della via Emilia tra via Casel di Ferro e la fine del centro abitato)</t>
  </si>
  <si>
    <t>PNRR-M5C2-I2.1 Riqualificazione urbana della Zona Annonaria e pista ciclabile su via Don Giovanni Verità</t>
  </si>
  <si>
    <t>J81B21004250001</t>
  </si>
  <si>
    <t>VIA DON GIOVANNI VERITA'</t>
  </si>
  <si>
    <t>PNRR-M5C2-I2.1 Riqualificazione e rigenerazione urbana del quadrante nord-est del centro storico di Reggio – strada della cultura</t>
  </si>
  <si>
    <t>J89J21004570001</t>
  </si>
  <si>
    <t>varie vie
 quadrante nord-est del centro storico che collega il piazzale Marconi, porta di accesso alla città dalla stazione ferroviaria, alla piazza della Vittoria</t>
  </si>
  <si>
    <t>PNRR-M5C2-I2.1 Riqualificazione e rigenerazione urbana del quadrante nord-est del centro storico di Reggio – riqualificazione degli orti di Santa Chiara</t>
  </si>
  <si>
    <t>J83D21000920001</t>
  </si>
  <si>
    <t>rinuncia</t>
  </si>
  <si>
    <t>PNRR-M5C2-I2.1 Barriere antirumore in via Inghilterra</t>
  </si>
  <si>
    <t>J81B21004060001</t>
  </si>
  <si>
    <t>VIA INGHILTERRA</t>
  </si>
  <si>
    <t>TOTALE:</t>
  </si>
  <si>
    <t>MINISTERO DELL’INTERNO – RIGENERAZIONE URBANA – FINANZIAMENTO STATALE SCADENZA 12/27</t>
  </si>
  <si>
    <t>PNRR-M5C2-I2.1 Piano di Riqualificazione Urbana quartiere popolare Compagnoni – riqualificazione ex scuole Villaggio Catellani per nuovo centro sociale/sede AUSER</t>
  </si>
  <si>
    <t>J84E21002010005</t>
  </si>
  <si>
    <t>CRISTINA BONDAVALLI</t>
  </si>
  <si>
    <t>VIA COMPAGNONI</t>
  </si>
  <si>
    <t>fine posticipata al 12/2027</t>
  </si>
  <si>
    <t>PNRR-M5C2-I2.1 Quartiere Ospizio/San Lazzaro – nuovo sottopasso ciclopedonale nel parco Campo di Marte</t>
  </si>
  <si>
    <t>J81B21004290005</t>
  </si>
  <si>
    <t>GIULIA NEVIANI</t>
  </si>
  <si>
    <t>varie vie
Superamento dell’asse ferroviario regionale Reggio Sassuolo in corrispondenza dei due parchi urbani denominati “Campo di Marte1” e “Campo di Marte 2” attualmente separati n modo invalicabile dalla linea ferroviaria</t>
  </si>
  <si>
    <t>cig ancora da prendere</t>
  </si>
  <si>
    <t>PNRR-M5C2-I2.1 Riqualificazione e rigenerazione urbana del quadrante nord-est del centro storico di Reggio – sottopasso ciclopedonale alla ferrovia storica Milano-Bologna</t>
  </si>
  <si>
    <t>J81B21004050005</t>
  </si>
  <si>
    <t>varie vie
 realizzazione del nuovo sottopasso ciclopedonale tra via Roma e via Regina Margherita.</t>
  </si>
  <si>
    <t>manca variante</t>
  </si>
  <si>
    <t>PNRR-M5C2-I2.1 Riqualificazione e ricucitura urbana dei quartieri Ospizio/San Lazzaro – nuovo cavalcaferrovia ciclopedonale tra il Campus San Lazzaro e il nuovo parco dello sport</t>
  </si>
  <si>
    <t>J81B21004030005</t>
  </si>
  <si>
    <t>varie vie
connessione tra il Campus San Lazzaro e la Via Emilia a sud e il sistema dei parchi e dell’Arena del Campovolo a nord, L’opera si colloca a circa 150 metri a ovest della stazione di Reggio Emilia San Lazzaro, in continuità con uno degli assi nord-sud strutturanti l’area storica di San Lazzaro (compreso tra il padiglione De Sanctis e il padiglione Besta) con ingresso diretto e riconoscibile dalla Via Emilia.</t>
  </si>
  <si>
    <t>MINISTERO DELL’ISTRUZIONE</t>
  </si>
  <si>
    <t>X</t>
  </si>
  <si>
    <t>PNRR-M2C3-I1.1 SM Aosta: sostituzione edilizia, nuovo edificio previa demolizione dell’edificio attuale</t>
  </si>
  <si>
    <t>J81B22000860006</t>
  </si>
  <si>
    <t>ERMES TORREGGIANI</t>
  </si>
  <si>
    <t>VIA CECATI N. 12</t>
  </si>
  <si>
    <t>PNRR-M4C1–I1.2 SP Ghiarda: Nuova mensa nell’area cortiliva della scuola</t>
  </si>
  <si>
    <t>J85E22000480001</t>
  </si>
  <si>
    <t>GABRIELLA OLIVIERO</t>
  </si>
  <si>
    <t xml:space="preserve">VIA GHIARDA 28 </t>
  </si>
  <si>
    <t>PNRR-M4C1–I1.2 SP Boiardo Bagno: nuova mensa con ampliamento edificio esistente</t>
  </si>
  <si>
    <t>J84E22000210006</t>
  </si>
  <si>
    <t>VIA LASAGNI 5/A</t>
  </si>
  <si>
    <t xml:space="preserve">PNRR-M4C1–I1.2 SP Valeriani Cadè: Nuova mensa mediante riconversione degli spazi inutilizzati al piano primo del corpo di fabbrica in ampliamento costruito nel 2010  </t>
  </si>
  <si>
    <t>J83D22000210006</t>
  </si>
  <si>
    <t>VIA GIORDANO BRUNO 29</t>
  </si>
  <si>
    <t xml:space="preserve"> PNRR-M4C1–I1.2 SP Dallaglio: Nuova mensa nell’area cortiliva della scuola</t>
  </si>
  <si>
    <t>J85E22000470001</t>
  </si>
  <si>
    <t>GIOVANNI GHERPELLI</t>
  </si>
  <si>
    <t>VIA TERRACHINI 20</t>
  </si>
  <si>
    <t xml:space="preserve"> PNRR-M4C1–I1.2 SP Marconi: Nuova mensa nell’area cortiliva della scuola</t>
  </si>
  <si>
    <t>J81B22002190001</t>
  </si>
  <si>
    <t>VIA EMILIA OSPIZIO 78</t>
  </si>
  <si>
    <t>PNRR-M4C1-I1.1 NIDO SOLE: riqualificazione messa in sicurezza</t>
  </si>
  <si>
    <t>J88I22000420001</t>
  </si>
  <si>
    <t>VIA CARAVAGGIO, 2</t>
  </si>
  <si>
    <t xml:space="preserve"> PNRR-M4C1-I1.1 NIDO RODARi: riqualificazione messa in sicurezza</t>
  </si>
  <si>
    <t>J88I22000290006</t>
  </si>
  <si>
    <t>VIA CECATI, 3/2</t>
  </si>
  <si>
    <t>PNRR-M4C1-I1.1 NIDO PETER PAN: riqualificazione messa in sicurezza</t>
  </si>
  <si>
    <t>J88I22000300006</t>
  </si>
  <si>
    <t>VIA PRADARENA, 14</t>
  </si>
  <si>
    <t xml:space="preserve"> PNRR-M4C1-I1.1 NIDO G. CERVI: riqualificazione messa in sicurezza</t>
  </si>
  <si>
    <t>J88I22000310006</t>
  </si>
  <si>
    <t>VIA RENATO FUCINI, 1</t>
  </si>
  <si>
    <t xml:space="preserve">PNRR-M4C1-I1.1 POLO PER L’INFANZIA (NIDO RIVIERI/SI CLAUDEL): riqualificazione messa in sicurezza </t>
  </si>
  <si>
    <t>J88I22000340006</t>
  </si>
  <si>
    <t>VIA HONORÉ DE BALZAC, 2</t>
  </si>
  <si>
    <t>PNRR-M4C1-I1.1 POLO PER L’INFANZIA (NIDO IOTTI/SI AGORA’): riqualificazione messa in sicurezza</t>
  </si>
  <si>
    <t>J88I22000330006</t>
  </si>
  <si>
    <t xml:space="preserve">VIA FRATELLI BANDIERA,12C </t>
  </si>
  <si>
    <t>PNRR-M4C1-I1.1 Polo dell'Infanzia al parco Ottavi</t>
  </si>
  <si>
    <t>J81B22002240006</t>
  </si>
  <si>
    <t xml:space="preserve">PARCO OTTAVI </t>
  </si>
  <si>
    <t>DIPARTIMENTO PER LO SPORT</t>
  </si>
  <si>
    <t xml:space="preserve"> PNRR-M5C2-I3.1 Nuova cittadella dello Sport di Masone</t>
  </si>
  <si>
    <t>J85B22000350005</t>
  </si>
  <si>
    <t>VIA MANZOTTI 1</t>
  </si>
  <si>
    <t xml:space="preserve"> PNRR-M5C2-I3.1 Riqualificazione stadio Mirabello</t>
  </si>
  <si>
    <t>J82H22000530005</t>
  </si>
  <si>
    <t xml:space="preserve">VIA MATTEOTTI 11 </t>
  </si>
  <si>
    <t>MINISTERO DELLE INFRASTRUTTURE E DEI TRASPORTI</t>
  </si>
  <si>
    <t>PNRR-M2C2-I4.1 Completamento ciclovia 1 e 2 S. Lazzaro-centro città</t>
  </si>
  <si>
    <t>J89J22002390001</t>
  </si>
  <si>
    <t>SILVIA BIZZARRI</t>
  </si>
  <si>
    <t xml:space="preserve">ZONA EST- S.LAZZARO- CENTRO 
 È stata data continuità alla ciclovia 1 est, con la creazione di una ciclabile in sede propria, ed è stata ridisegnata la ciclovia 2 in Via Cialdini. </t>
  </si>
  <si>
    <t>PNRR-M2C2-I4.1 Realizzazione superciclabile stazione Mediopadana – confine comunale</t>
  </si>
  <si>
    <t>J89J22002400001</t>
  </si>
  <si>
    <t>ZONA NORD : da via Filangeri a via Bovio in fregio a via Gramsci;da via don Leuratti a via Raffaello;ratto ciclabile in prossimità del collegamento alla ciclabile del PuA6 (che collega Mancasale da est a ovest all’altezza dello stabilimento Ognibene);
i tratti ciclabili delle vie Majorana, Raffaello, Bovio e di Vittorio.</t>
  </si>
  <si>
    <t xml:space="preserve">PNRR-M2C2-I4.1 Superciclabile sud - realizzazione di nuova rete ciclabile tra Rivalta e Mancasale - 1° Stralcio  </t>
  </si>
  <si>
    <t>J81B21000270001</t>
  </si>
  <si>
    <t>varie vie: unire più velocemente le ampie zone residenziali a sud, da Via Conforti a Rivalta, con le aree produttive di Mancasale a nord e Via Filangieri.</t>
  </si>
  <si>
    <t>MINISTERO DEL LAVORO E DELLE POLITICHE SOCIALI</t>
  </si>
  <si>
    <t>PNRR-M5C2-I1.1.2 Riconversione e riqualificazione di residenze e adeguamento tecnologia domotica innovativa per spazi abitativi per anziani non autosufficienti (soggetto esecutore ACER)</t>
  </si>
  <si>
    <t>J84H22001000001</t>
  </si>
  <si>
    <t>ANDREA ILLARI</t>
  </si>
  <si>
    <t xml:space="preserve">COMUNE DI REGGIO EMILIA </t>
  </si>
  <si>
    <t>PNRR-M5C2-I1.2 Realizzazione di abitazioni per gruppi di persone con disabilità e predisposizione di strumenti e tecnologie di domotica e interazione a distanza presso l’immobile sito in via Mazzini, 6 piano sesto (Progetto Comune di Reggio)</t>
  </si>
  <si>
    <t>J84F22000430001</t>
  </si>
  <si>
    <t>COMUNE DI REGGIO EMILIA - riqualificazione di due abitazioni situate in via Mazzini (di proprietà di Asp Reggio Emilia Città delle persone) e in via Brigata Reggio (di proprietà di Farmacie comunali riunite</t>
  </si>
  <si>
    <t>PNRR-M5C2-I1.2 Realizzazione di abitazioni per gruppi di persone con disabilità e predisposizione di strumenti e tecnologie di domotica e interazione a distanza presso l’immobile di Quattro Castella (Montecavolo) (Progetto Comune di Quattro Castella) (trasferimento a Unione Colline Matildiche)</t>
  </si>
  <si>
    <t>J54F22000990001</t>
  </si>
  <si>
    <t>GERMANA CORRADINI</t>
  </si>
  <si>
    <t xml:space="preserve">VIA P.NENNI - MONTECAVOLO - QUATTRO CASTELLA (RE) </t>
  </si>
  <si>
    <t xml:space="preserve">PNRR-M5C2-I1.3 Riconversione di strutture di accoglienza in mini alloggi con spazi e servizi comuni presso l’immobile sito in via Dalmazia n. 85  </t>
  </si>
  <si>
    <t>J84H22000690001</t>
  </si>
  <si>
    <t>COMUNE DI REGGIO EMILIA - ATS REGGIO EMILIA via Dalmazia n. 85</t>
  </si>
  <si>
    <t>PNRR-M5C2-I1.3 Realizzazione di centri servizi per persone di marginalità anche estrema e senza dimora presso l’immobile sito in via Kennedy n.15-17</t>
  </si>
  <si>
    <t>J84H22000710001</t>
  </si>
  <si>
    <t>COMUNE DI REGGIO EMILIA - ATS REGGIO EMILIA  o in via Kennedy n.15-17</t>
  </si>
  <si>
    <t>MINISTERO DELLA CULTURA</t>
  </si>
  <si>
    <t>PNRR-M1C3-I1.2 Rimozione delle barriere fisiche e cognitive – Palazzo dei Musei</t>
  </si>
  <si>
    <t>J87B22000800006</t>
  </si>
  <si>
    <t>FRANCESCA RUOZI</t>
  </si>
  <si>
    <t xml:space="preserve">VIA LAZZARO SPALLANZANI 1 </t>
  </si>
  <si>
    <t>PNRR-M1C3-I1.2 Rimozione delle barriere fisiche e cognitive – Palazzo dei Musei (spesa corrente)</t>
  </si>
  <si>
    <t>CENTRO REGIONALE PER IL LAVORO</t>
  </si>
  <si>
    <t>PNRR-M5C1-I1.1 – Riqualificazione Torre B del Giglio – Realizzazione del CPI</t>
  </si>
  <si>
    <t>J88I22000400002</t>
  </si>
  <si>
    <t xml:space="preserve">VIA PIER GIACINTO TERRACHINI, 18 </t>
  </si>
  <si>
    <t>MINISTERO DELL’AMBIENTE</t>
  </si>
  <si>
    <t xml:space="preserve"> PNRR-M2C4-I3.4 Siti orfani da riqualificare - Area Ex MacelloTecton</t>
  </si>
  <si>
    <t>J88G22000110006</t>
  </si>
  <si>
    <t>DAVIDE GIOVANNINI</t>
  </si>
  <si>
    <t>PNRR-M2C4-I3.4 Siti orfani da riqualificare – Area Produttiva Polifunzionale – GOLD</t>
  </si>
  <si>
    <t>J88G22000120006</t>
  </si>
  <si>
    <t xml:space="preserve">“Area ex GOLD” in via Werter Asseverati, </t>
  </si>
  <si>
    <t>MEDIE OPERE – MINISTERO DELL’INTERNO</t>
  </si>
  <si>
    <t>PNRR-M2C4-I2.2 Ristrutturazione con miglioramento sismico e adeguamento normativa antincendio nido ALLENDE
MISSIONE 2</t>
  </si>
  <si>
    <t>J82G20000110004</t>
  </si>
  <si>
    <t>VIA GATTALUPA</t>
  </si>
  <si>
    <t>chiedi a Claudia
(non è segnato nel file)</t>
  </si>
  <si>
    <t>PNRR-M2C4-I2.2 Ristrutturazione con miglioramento sismico e adeguamento normativa antincendio nido BELLELLI
MISSIONE 2</t>
  </si>
  <si>
    <t>J82G19000310004</t>
  </si>
  <si>
    <t xml:space="preserve">VIA G. PUCCINI, 28 </t>
  </si>
  <si>
    <t>PNRR-M2C4-I2.2 Ristrutturazione e adeguamento antincendio nido scuola O. Sarzi</t>
  </si>
  <si>
    <t>J82G20000100004</t>
  </si>
  <si>
    <t>ELENA MELLONI Seguito da francesco paone Rup dovrebbe diventare falbo</t>
  </si>
  <si>
    <t>PNRR-M2C4-I2.2 Intervento di consolidamento Ponte via Pinotti su tangenziale</t>
  </si>
  <si>
    <t>J89J20000040004</t>
  </si>
  <si>
    <t>MATTEO CHIARI</t>
  </si>
  <si>
    <t>MONTANARI</t>
  </si>
  <si>
    <t xml:space="preserve">VIA PINOTTI </t>
  </si>
  <si>
    <t>PNRR-M2C4-I2.2 Interventi di manutenzione straordinaria programmata ponti “Area Nord” - 1° lotto</t>
  </si>
  <si>
    <t>J87H20000280004</t>
  </si>
  <si>
    <t>varie vie: sistemazione di ponti “Centrale” e “Nord” presenti su V.le dei Trattati di Roma.</t>
  </si>
  <si>
    <t>PNRR-M2C4-I2.2 Interventi di manutenzione straordinaria programmata ponti “Area Nord” - 2° lotto</t>
  </si>
  <si>
    <t>J87H20000260004</t>
  </si>
  <si>
    <t>PNRR-M2C4-I2.2 Interventi di manutenzione straordinaria programmata ponti “Area Nord” - 3° lotto</t>
  </si>
  <si>
    <t>J87H20000240004</t>
  </si>
  <si>
    <t>MARCO LEURINI</t>
  </si>
  <si>
    <t>PNRR-M2C4-I2.2 Barriere Ponte via Asseverati</t>
  </si>
  <si>
    <t>J87H20002170001</t>
  </si>
  <si>
    <t xml:space="preserve">VIA ASSEVERATI </t>
  </si>
  <si>
    <t xml:space="preserve"> PNRR-M2C4-I2.2 Barriere Ponte via Marx</t>
  </si>
  <si>
    <t>J87H20002180001</t>
  </si>
  <si>
    <t>VIA MARX</t>
  </si>
  <si>
    <t>PICCOLE OPERE – MINISTERO DELL’INTERNO</t>
  </si>
  <si>
    <t>PNRR-M2C4-I2.2 Lavori di messa in sicurezza della pavimentazione Scuola San Giovanni Bosco (2020) 
MISSIONE 2</t>
  </si>
  <si>
    <t>J89E20000130005</t>
  </si>
  <si>
    <t xml:space="preserve">VIA BISMANTOVA </t>
  </si>
  <si>
    <t>PNRR-M2C4-I2.2 Lavori di efficientamento energetico per l'illuminazione pubblica (2021)</t>
  </si>
  <si>
    <t>J89J21004270001</t>
  </si>
  <si>
    <t>GIUSEPPE BELTRAMI</t>
  </si>
  <si>
    <t>varie vie</t>
  </si>
  <si>
    <t>PNRR-M2C4-I2.2 Interventi su impianti di pubblica illuminazione ex Enel Sole: acquisizione e efficientamento energetico (2021)</t>
  </si>
  <si>
    <t>J89J21006970001</t>
  </si>
  <si>
    <t>PNRR-M2C4-I2.2 Riqualificazione ed efficientamento degli impianti di illuminazione di attraversamenti pedonali e contestuale riqualificazione ai fini della sicurezza stradale e mobilità sostenibile</t>
  </si>
  <si>
    <t>J86I22000110002</t>
  </si>
  <si>
    <t>varie vie: L'intervento interesserà in tutto 15 attraversamenti pedonali distribuiti lungo arterie di grande traffico della città:N° 5 in viale Timavo, N° 3 in viale dei Mille, N° 3 in viale Piave, N° 2 in via Vico, N° 1 in via Newton, N° 1 in via G. Bruno.</t>
  </si>
  <si>
    <t>PNRR-M2C4-I2.2 Centro internazionale Loris Malaguzzi - Interventi di efficientamento energetico (2023)</t>
  </si>
  <si>
    <t>J84D22002650007</t>
  </si>
  <si>
    <t>ELENA MELLONI</t>
  </si>
  <si>
    <t xml:space="preserve">VIALE B. RAMAZZINI, 72/A </t>
  </si>
  <si>
    <t>PNRR-M2C4-I2.2 Centro internazionale Loris Malaguzzi - Interventi di efficientamento energetico (2024)</t>
  </si>
  <si>
    <t>J84H22001800006</t>
  </si>
  <si>
    <t xml:space="preserve">VIALE B. RAMAZZINI, 72/A, </t>
  </si>
  <si>
    <t>DIPARTIMENTO PER LA TRASFORMAZIONE DIGITALE come da nota trasmessa a ottobre 2025</t>
  </si>
  <si>
    <t xml:space="preserve"> 1.4.3 ADOZIONE APP IO</t>
  </si>
  <si>
    <t>J81F22002400006</t>
  </si>
  <si>
    <t>ANDREA BERTANI</t>
  </si>
  <si>
    <t xml:space="preserve"> 1.4.3 ADOZIONE APP IO (maggio 2024)</t>
  </si>
  <si>
    <t>J81F25000020006</t>
  </si>
  <si>
    <t>1.4.3 ADOZIONE PIATTAFORMA pagoPA</t>
  </si>
  <si>
    <t>J81F22002730006</t>
  </si>
  <si>
    <t xml:space="preserve"> 1.4.3 ADOZIONE PIATTAFORMA pagoPA (maggio 2023)</t>
  </si>
  <si>
    <t>J81F23000670006</t>
  </si>
  <si>
    <t xml:space="preserve"> 1.4.5 PIATTAFORMA NOTIFICHE DIGITALI – COMUNI</t>
  </si>
  <si>
    <t>J81F22003920006</t>
  </si>
  <si>
    <t xml:space="preserve"> 1.4.1 ESPERIENZA DEL CITTADINO NEI SERVIZI PUBBLICI – COMUNI</t>
  </si>
  <si>
    <t>J81F22004370006</t>
  </si>
  <si>
    <t>1.4.2 MIGLIORAMENTO DELL'ACCESSIBILITÀ DEI SERVIZI PUBBLICI GENERALI</t>
  </si>
  <si>
    <t>J54F24000100006</t>
  </si>
  <si>
    <t>1.4.4 ESTENSIONE DELL'UTILIZZO DELL'ANAGRAFE NAZIONALE DIGITALE (ANPR) - ADESIONE ALLO STATO CIVILE DIGITALE (ANSC)</t>
  </si>
  <si>
    <t>J51F24005880006</t>
  </si>
  <si>
    <t xml:space="preserve"> 1.2 “ABILITAZIONE AL CLOUD PER LE PA LOCALI” COMUNI</t>
  </si>
  <si>
    <t>J81C22001570006</t>
  </si>
  <si>
    <t xml:space="preserve"> 1.3.1 PIATTAFORMA DIGITALE NAZIONALE DATI COMUNI</t>
  </si>
  <si>
    <t>J51F22004260006</t>
  </si>
  <si>
    <t>J41J25001340006</t>
  </si>
  <si>
    <t xml:space="preserve"> 1.5 “CYBERSECURITY”</t>
  </si>
  <si>
    <t>J81B24000320001</t>
  </si>
  <si>
    <t>1.7.2 DIGITALE FACILE IN EMILIA ROMAGNA_CENTRI DI FACILITAZIONE DIGITALE</t>
  </si>
  <si>
    <t>J89E23000040006</t>
  </si>
  <si>
    <t>NICOLETTA LEVI</t>
  </si>
  <si>
    <t>2.2.3 DIGITALIZZAZIONE DELLE PROCEDURE (SUAP &amp; SUE)</t>
  </si>
  <si>
    <t>J81F24000420006</t>
  </si>
  <si>
    <t>2.2.3 DIGITALIZZAZIONE DELLE PROCEDURE SUAP 2 AVVISO</t>
  </si>
  <si>
    <t xml:space="preserve">2.2.3. DIGITALIZZAZIONE PROCEDURE SUAP ENTI TERZI 2 AVVISO </t>
  </si>
  <si>
    <t>2.2.3. DIGITALIZZAZIONE DELLE PROCEDURE SUE</t>
  </si>
  <si>
    <t>2.2.3 DIGITALIZZAZIONE DELLE PROCEDURE (SUAP &amp; SUE) 2025</t>
  </si>
  <si>
    <t>J81F25000400006</t>
  </si>
  <si>
    <t>Rinnovo parco autobus regionale per il trasposto pubblico con veicoli a combustibili</t>
  </si>
  <si>
    <t>H80J22000000001</t>
  </si>
  <si>
    <t>GANDOLFI</t>
  </si>
  <si>
    <t>PAOLO GANDOLFI</t>
  </si>
  <si>
    <t xml:space="preserve">SETA a Reggio Emilia: Via del Chionso 50, 42122 Reggio Emilia </t>
  </si>
  <si>
    <t>PNRR-M5C2-I2.3 PINQUA - Economia, lavoro e innovazione</t>
  </si>
  <si>
    <t>J87H21000950005</t>
  </si>
  <si>
    <t>LEPORI</t>
  </si>
  <si>
    <t>DANIELA LEPORI</t>
  </si>
  <si>
    <t xml:space="preserve">PIAZZALE EUROPA A REGGIO EMILIA, SNC (ANCORA SENZA NUMERO CIVICO) </t>
  </si>
  <si>
    <t>SOSTEGNO ALLE PERSONE  VULNERABILI E PREVENZIONE DELL'ISTITUZIONALIZZAZIONE DEGLI ANZIANI NON AUTOSUFFICIENTI </t>
  </si>
  <si>
    <t>M5C2 – I1.1</t>
  </si>
  <si>
    <t>PNRR-M5C2-I1.1.1 Sostegno alle capacità genitoriali e prevenzione della vulnerabilità delle famiglie e dei bambini (PIPPI) (attività di PARTE CORRENTE)</t>
  </si>
  <si>
    <t>J84H22000170001</t>
  </si>
  <si>
    <t>ANTONIO COSTANTINI</t>
  </si>
  <si>
    <t>PNRR-M5C2-I1.1.2 Assistenza domiciliare integrata (quota sociale) in alloggi per anziani non autosufficienti (attività di PARTE CORRENTE)</t>
  </si>
  <si>
    <t xml:space="preserve">PNRR-M5C2-I1.1.3 Rafforzamento dei servizi sociali domiciliari per garantire la dimissione anticipata assistita e prevenire l’ospedalizzazione (attività di PARTE CORRENTE) </t>
  </si>
  <si>
    <t>J89G22000030001</t>
  </si>
  <si>
    <t>PNRR-M5C2-I1.1.4 Rafforzamento dei servizi sociali e prevenzione del fenomeno del burn out tra gli operatori (attività di PARTE CORRENTE)</t>
  </si>
  <si>
    <t>J84I22000010001</t>
  </si>
  <si>
    <t>PERCORSI DI AUTONOMIA PER PERSONE CON DISABILITÀ</t>
  </si>
  <si>
    <t>M5C2 – I1.2</t>
  </si>
  <si>
    <t>PNRR-M5C2-I1.2 Percorsi di autonomia per persone con disabilità (Progetto Comune di Reggio) - (attività di PARTE CORRENTE - progetti individualizzati, formazione/lavoro)</t>
  </si>
  <si>
    <t>PNRR-M5C2-I1.2 Percorsi di autonomia per persone con disabilità (Progetto Comune di Quattro Castella) (attività di PARTE CORRENTE - progetti individualizzati, formazione/lavoro) (trasferimento a Unione Colline Matildiche)</t>
  </si>
  <si>
    <t>HOUSING TEMPORANEO E STAZIONI DI POSTA PER LE PERSONE SENZA DIMORA</t>
  </si>
  <si>
    <t>M5C2 – I1.3</t>
  </si>
  <si>
    <t>PNRR-M5C2-I1.3 Povertà estrema – Housing first (attività di PARTE CORRENTE)</t>
  </si>
  <si>
    <t>PNRR-M5C2-I1.3 Povertà estrema – Stazioni di Posta/Centri servizi (attività di PARTE CORRENTE)</t>
  </si>
  <si>
    <t>2.3.2 INTEROPERABILITA’ SISTEMI GESTIONALI RISORSE UMANE</t>
  </si>
  <si>
    <t>J41F25000630006</t>
  </si>
  <si>
    <t xml:space="preserve">J81F26000290006 </t>
  </si>
  <si>
    <t>J81F26000280006</t>
  </si>
  <si>
    <t>J81C26000030006</t>
  </si>
  <si>
    <t>1.3.1  PIATTAFORMA DIGITALE NAZIONALE DATI ANNCSU – COMUNI</t>
  </si>
  <si>
    <t>SENZA SEDE FISICA - idealmente sede CUED in P.zza Scapinelli 1</t>
  </si>
  <si>
    <t>SENZA SEDE FISICA - idealmente sede CUED in P.zza Scapinelli 2</t>
  </si>
  <si>
    <t>SENZA SEDE FISICA - idealmente sede CUED in P.zza Scapinelli 3</t>
  </si>
  <si>
    <t>SENZA SEDE FISICA - idealmente sede CUED in P.zza Scapinelli 4</t>
  </si>
  <si>
    <t>SENZA SEDE FISICA - idealmente sede CUED in P.zza Scapinelli 5</t>
  </si>
  <si>
    <t>SENZA SEDE FISICA - idealmente sede CUED in P.zza Scapinelli 6</t>
  </si>
  <si>
    <t>SENZA SEDE FISICA - idealmente sede CUED in P.zza Scapinelli 7</t>
  </si>
  <si>
    <t>SENZA SEDE FISICA - idealmente sede CUED in P.zza Scapinelli 8</t>
  </si>
  <si>
    <t>SENZA SEDE FISICA - idealmente sede CUED in P.zza Scapinelli 9</t>
  </si>
  <si>
    <t>SENZA SEDE FISICA - idealmente sede CUED in P.zza Scapinelli 10</t>
  </si>
  <si>
    <t>SENZA SEDE FISICA - idealmente sede CUED in P.zza Scapinelli 11</t>
  </si>
  <si>
    <t>SENZA SEDE FISICA - idealmente sede CUED in P.zza Scapinelli 12</t>
  </si>
  <si>
    <t>SENZA SEDE FISICA - idealmente sede CUED in P.zza Scapinelli 14</t>
  </si>
  <si>
    <t>SENZA SEDE FISICA - idealmente sede CUED in P.zza Scapinelli 15</t>
  </si>
  <si>
    <t>SENZA SEDE FISICA - idealmente sede CUED in P.zza Scapinelli 16</t>
  </si>
  <si>
    <t>SENZA SEDE FISICA - idealmente sede CUED in P.zza Scapinelli 17</t>
  </si>
  <si>
    <t>SENZA SEDE FISICA - idealmente sede CUED in P.zza Scapinelli 18</t>
  </si>
  <si>
    <t>SEDI VARIE DEI CENTRI DI FACILITAZIONE DIGITALE</t>
  </si>
  <si>
    <t>CATEGORIA</t>
  </si>
  <si>
    <t>Rigenerazione Urbana</t>
  </si>
  <si>
    <t>Verde Pubblico</t>
  </si>
  <si>
    <t>Ciclovie</t>
  </si>
  <si>
    <t>Lavori Pubblici</t>
  </si>
  <si>
    <t>Edilizia Scolastica</t>
  </si>
  <si>
    <t>Impianti Sportivi</t>
  </si>
  <si>
    <t>Servizi Sociali</t>
  </si>
  <si>
    <t>Mobilità/Infrastrutture</t>
  </si>
  <si>
    <t>Servizi Digitali</t>
  </si>
  <si>
    <t>LATITUDINE</t>
  </si>
  <si>
    <t>LONGITUDINE</t>
  </si>
  <si>
    <t>AVANZAMENTO LAVORI</t>
  </si>
  <si>
    <t>N°</t>
  </si>
  <si>
    <t>SCADENZA</t>
  </si>
  <si>
    <t>DIPARTIMENTO PER LA MOBILITÀ SOSTENIBILE</t>
  </si>
  <si>
    <t>DIPARTIMENTO PER LE OPERE PUBBLICHE E LE POLITICHE ABITATIVE</t>
  </si>
  <si>
    <t>TOTALE COMPLESSIVO:</t>
  </si>
  <si>
    <t>SOSTEGNO ALLE PERSONE  VULNERABILI E PREVENZIONE DELL'ISTITUZIONALIZZAZIONE DEGLI ANZIANI NON AUTOSUFFICIENTI  M5C2 – I1.1</t>
  </si>
  <si>
    <t>PERCORSI DI AUTONOMIA PER PERSONE CON DISABILITÀ M5C2 – I1.2</t>
  </si>
  <si>
    <t>HOUSING TEMPORANEO E STAZIONI DI POSTA PER LE PERSONE SENZA DIMORA M5C2 – I1.3</t>
  </si>
  <si>
    <t>PNRR-M5C2-I2.1 Riqualificazione e sicurezza della via Emilia a Pieve Modolena e Cella – completamento della ciclovia 1 ovest</t>
  </si>
  <si>
    <t>PNRR-M2C4-I2.2 Ristrutturazione con miglioramento sismico e adeguamento normativa antincendio nido ALLENDE</t>
  </si>
  <si>
    <t>PNRR-M2C4-I2.2 Ristrutturazione con miglioramento sismico e adeguamento normativa antincendio nido BELLELLI</t>
  </si>
  <si>
    <t>PNRR-M2C4-I2.2 Lavori di messa in sicurezza della pavimentazione Scuola San Giovanni Bosco (2020)</t>
  </si>
  <si>
    <t>Riga</t>
  </si>
  <si>
    <t>Progetto</t>
  </si>
  <si>
    <t>Localizzazione originale</t>
  </si>
  <si>
    <t>Latitudine</t>
  </si>
  <si>
    <t>Longitudine</t>
  </si>
  <si>
    <t>Tipo geolocalizzazione</t>
  </si>
  <si>
    <t>Affidabilita</t>
  </si>
  <si>
    <t>Fonte / criterio</t>
  </si>
  <si>
    <t>URL fonte</t>
  </si>
  <si>
    <t>Note</t>
  </si>
  <si>
    <t>Esito</t>
  </si>
  <si>
    <t>Puntuale/area parco</t>
  </si>
  <si>
    <t>ALTA</t>
  </si>
  <si>
    <t>Centro rappresentativo Parco del Gelso; localizzazione coerente con area di progetto</t>
  </si>
  <si>
    <t>https://www.zampaconnect.com/area-cani/reggio-emilia/parco_del_gelso_42124_reggio_nellemilia_re</t>
  </si>
  <si>
    <t>Punto nel Parco del Gelso; intervento su area verde, non singolo edificio.</t>
  </si>
  <si>
    <t>COORDINATE INSERITE</t>
  </si>
  <si>
    <t>Puntuale</t>
  </si>
  <si>
    <t>Piazzale Reverberi / ex Polveriera</t>
  </si>
  <si>
    <t>https://www.openstreetmap.org/search?query=Piazzale%20Reverberi%20Reggio%20Emilia</t>
  </si>
  <si>
    <t>Punto rappresentativo del Piazzale Reverberi/Bicilab.</t>
  </si>
  <si>
    <t>Ponte/passarella del Gattaglio sul Crostolo</t>
  </si>
  <si>
    <t>https://mapcarta.com/search?q=Ponte%20del%20Gattaglio%20Reggio%20Emilia</t>
  </si>
  <si>
    <t>Coordinate del ponte/passerella in area Gattaglio.</t>
  </si>
  <si>
    <t>Rappresentativo lineare</t>
  </si>
  <si>
    <t>BASSA</t>
  </si>
  <si>
    <t>Centroide rappresentativo del tratto Cella-Cade-Gaida ricavato dalle localita attraversate</t>
  </si>
  <si>
    <t>https://mapcarta.com/18708310</t>
  </si>
  <si>
    <t>Intervento lineare esteso: usare in futuro una geometria LineString; il punto serve solo come marker CUP.</t>
  </si>
  <si>
    <t>Rappresentativo su via</t>
  </si>
  <si>
    <t>MEDIA</t>
  </si>
  <si>
    <t>Centro della Via Don Giovanni Verita</t>
  </si>
  <si>
    <t>https://distanzechilometriche.net/mappa/reggio-nell-emilia/via-don-giovanni-verita/</t>
  </si>
  <si>
    <t>Intervento lungo la via; coordinata rappresentativa, non civico puntuale.</t>
  </si>
  <si>
    <t>Punto medio approssimato tra Stazione FS/Piazzale Marconi e Piazza della Vittoria</t>
  </si>
  <si>
    <t>https://distanzechilometriche.net/mappa/reggio-nell-emilia/piazza-della-vittoria/</t>
  </si>
  <si>
    <t>Strada della Cultura: marker al centro del corridoio; preferibile una LineString nella mappa finale.</t>
  </si>
  <si>
    <t>Puntuale/area</t>
  </si>
  <si>
    <t>Area Orti di Santa Chiara tra Teatro Cavallerizza e Spazio Gerra</t>
  </si>
  <si>
    <t>https://www.comune.reggioemilia.it/argomenti/attuazione-misure-pnrr/missione-5/pnrr-m5c2-i2-1-riqualificazione-e-rigenerazione-urbana-del-quadrante-nord-est-del-centro-storico-di-reggio-2013-riqualificazione-degli-orti-di-santa-chiara-1</t>
  </si>
  <si>
    <t>Punto centrale dell area descritta dal Comune tra Cavallerizza e Spazio Gerra.</t>
  </si>
  <si>
    <t>Centro della Via Inghilterra</t>
  </si>
  <si>
    <t>https://www.italiamappe.it/stradario/reggio-nell%27emilia/</t>
  </si>
  <si>
    <t>Barriere antirumore lungo la via: punto rappresentativo.</t>
  </si>
  <si>
    <t>Centro della Via Compagnoni</t>
  </si>
  <si>
    <t>Riqualificazione ex scuole nel quartiere Compagnoni; punto su via.</t>
  </si>
  <si>
    <t>Area Campo di Marte tra Via Cellini e linea Reggio-Sassuolo</t>
  </si>
  <si>
    <t>https://www.comune.reggioemilia.it/argomenti/attuazione-misure-pnrr</t>
  </si>
  <si>
    <t>Punto rappresentativo dei parchi Campo di Marte 1 e 2 presso il sottopasso.</t>
  </si>
  <si>
    <t>Rappresentativo opera</t>
  </si>
  <si>
    <t>Asse Via Roma - Viale Regina Margherita in corrispondenza della ferrovia</t>
  </si>
  <si>
    <t>https://www.comune.reggioemilia.it/argomenti/attuazione-misure-pnrr/progetti-stralciati-dal-pnrr/pnrr-m5c2-i2-1-riqualificazione-e-rigenerazione-urbana-del-quadrante-nord-est-del-centro-storico-di-reggio-2013-sottopasso-ciclopedonale-alla-ferrovia-storica-milano-bologna</t>
  </si>
  <si>
    <t>Punto stimato sull asse del sottopasso; posizione rappresentativa dell opera.</t>
  </si>
  <si>
    <t>Circa 150 m a ovest della stazione Reggio Emilia San Lazzaro, come da descrizione progetto</t>
  </si>
  <si>
    <t>https://www.wikidata.org/wiki/Special:Search?search=Reggio%20Emilia%20San%20Lazzaro%20station</t>
  </si>
  <si>
    <t>Derivato dalla posizione della stazione e dalla distanza indicata nel progetto.</t>
  </si>
  <si>
    <t>Via Lasagni, localita Bagno</t>
  </si>
  <si>
    <t>Punto rappresentativo della via; verificare il civico 5/A in caso di uso tecnico di precisione.</t>
  </si>
  <si>
    <t>Nido Sole, Via Caravaggio 2</t>
  </si>
  <si>
    <t>https://www.comune.reggioemilia.it/argomenti/istituzione-scuole-e-nidi-dinfanzia</t>
  </si>
  <si>
    <t>Coordinate edificio/area scolastica.</t>
  </si>
  <si>
    <t>Puntuale stimato</t>
  </si>
  <si>
    <t>Nido Peter Pan, Via Pradarena 14; posizione ricostruita da POI e viabilita circostante</t>
  </si>
  <si>
    <t>https://www.comune.reggioemilia.it/argomenti/istituzione-scuole-e-nidi-dinfanzia/nidi-dinfanzia/nidi-comunali-e-convenzionati/peterpan</t>
  </si>
  <si>
    <t>Indirizzo ufficiale; coordinata ricostruita sull edificio/area del nido.</t>
  </si>
  <si>
    <t>Nido Genoeffa Cervi, Via Renato Fucini 1</t>
  </si>
  <si>
    <t>POI del nido in prossimita del riferimento cartografico Casino Bacchi.</t>
  </si>
  <si>
    <t>Polo Rivieri/Claudel, Via H. de Balzac 2</t>
  </si>
  <si>
    <t>https://www.comune.reggioemilia.it/argomenti/istituzione-scuole-e-nidi-dinfanzia/nidi-scuole/rivieri</t>
  </si>
  <si>
    <t>Indirizzo ufficiale; coordinata rappresentativa della via.</t>
  </si>
  <si>
    <t>Nido Nilde Iotti / Polo Agora, Via Fratelli Bandiera 12C</t>
  </si>
  <si>
    <t>https://censimentoarchitetturecontemporanee.cultura.gov.it/scheda-opera?id=4862</t>
  </si>
  <si>
    <t>Coordinate pubblicate nel Censimento delle architetture contemporanee del Ministero della Cultura.</t>
  </si>
  <si>
    <t>Parco Nilde Iotti (gia Parco Ottavi)</t>
  </si>
  <si>
    <t>https://www.comune.reggioemilia.it/argomenti/mobilita/progetti/reggio-emilia-citta-dei-sentieri/i-sentieri/anello-alex-langer/documenti-allegati/punti-di-interesse.pdf</t>
  </si>
  <si>
    <t>Punto rappresentativo dell area del Parco Ottavi/Nilde Iotti.</t>
  </si>
  <si>
    <t>Via Manzotti, Masone</t>
  </si>
  <si>
    <t>Punto rappresentativo della via per la nuova Cittadella dello Sport.</t>
  </si>
  <si>
    <t>Stadio Mirabello</t>
  </si>
  <si>
    <t>https://mapcarta.com/search?q=Stadio%20Mirabello%20Reggio%20Emilia</t>
  </si>
  <si>
    <t>Centro dello stadio; il civico pubblico ricorrente e Via Giacomo Matteotti 2.</t>
  </si>
  <si>
    <t>Punto medio rappresentativo del collegamento San Lazzaro-centro</t>
  </si>
  <si>
    <t>https://www.comune.reggioemilia.it/argomenti/mobilita</t>
  </si>
  <si>
    <t>Intervento ciclabile lineare: usare una LineString quando disponibile.</t>
  </si>
  <si>
    <t>Tratto nord presso Via Filangieri/Gramsci</t>
  </si>
  <si>
    <t>Superciclabile estesa: marker rappresentativo del corridoio nord.</t>
  </si>
  <si>
    <t>Punto rappresentativo del corridoio Rivalta-Mancasale</t>
  </si>
  <si>
    <t>Superciclabile molto estesa: marker di sintesi; preferibile geometria lineare.</t>
  </si>
  <si>
    <t>Rappresentativo multi-sito</t>
  </si>
  <si>
    <t>Uno dei due immobili del CUP: Via Brigata Reggio 30; l altro e Via Mazzini 6</t>
  </si>
  <si>
    <t>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</t>
  </si>
  <si>
    <t>CUP multisito. Il marker rappresenta Via Brigata Reggio 30; mantenere nota dei due immobili.</t>
  </si>
  <si>
    <t>Via Dalmazia; riferimento cartografico prossimo al civico 85</t>
  </si>
  <si>
    <t>https://www.blia.it/in/96982-46178</t>
  </si>
  <si>
    <t>Il riferimento disponibile e per Via Dalmazia 101; il civico 85 e prossimo ma va verificato per uso di precisione.</t>
  </si>
  <si>
    <t>Via John Fitzgerald Kennedy, area civici 15-17</t>
  </si>
  <si>
    <t>https://www.italiamappe.it/stradario/reggio-nell%27emilia/via-john-fitzgerald-kennedy/</t>
  </si>
  <si>
    <t>Coordinate rappresentative del tratto di Via Kennedy; indirizzo 15-17 confermato da fonti pubbliche.</t>
  </si>
  <si>
    <t>Palazzo dei Musei, Via Lazzaro Spallanzani 1</t>
  </si>
  <si>
    <t>https://cultura.gov.it/luogo/palazzo-dei-musei-reggio-emilia</t>
  </si>
  <si>
    <t>Coordinate del Palazzo dei Musei/edificio.</t>
  </si>
  <si>
    <t>Propagata per CUP</t>
  </si>
  <si>
    <t>Stesso CUP e stesso sito fisico della riga 56</t>
  </si>
  <si>
    <t>Riga di spesa corrente collegata allo stesso CUP e al medesimo edificio.</t>
  </si>
  <si>
    <t>Via Werter Asseverati / area ex GOLD</t>
  </si>
  <si>
    <t>Punto rappresentativo lungo Via Asseverati; area produttiva est.</t>
  </si>
  <si>
    <t>Nido Allende, Via Gattalupa 5</t>
  </si>
  <si>
    <t>https://www.provincia.re.it/</t>
  </si>
  <si>
    <t>Indirizzo ufficiale; punto ricostruito dai civici adiacenti della stessa via.</t>
  </si>
  <si>
    <t>Nido Bellelli, Via G. Puccini 28</t>
  </si>
  <si>
    <t>https://www.reteimprese.it/</t>
  </si>
  <si>
    <t>Coordinata associata al civico 28.</t>
  </si>
  <si>
    <t>Nido scuola O. Sarzi, Via Guasco 10</t>
  </si>
  <si>
    <t>https://www.blia.it/</t>
  </si>
  <si>
    <t>Coordinate del civico/edificio.</t>
  </si>
  <si>
    <t>Via Pinotti</t>
  </si>
  <si>
    <t>Punto rappresentativo del ponte su Via Pinotti/tangenziale.</t>
  </si>
  <si>
    <t>Viale dei Trattati di Roma, area nord</t>
  </si>
  <si>
    <t>https://www.mappepercorsi.it/genova-montecavolo-pianificatore-di-itinerario-google-google-map/</t>
  </si>
  <si>
    <t>Lotto ponti Area Nord: punto rappresentativo sul viale; non distingue il singolo manufatto.</t>
  </si>
  <si>
    <t>Via Werter Asseverati</t>
  </si>
  <si>
    <t>Punto rappresentativo del ponte/barriere lungo Via Asseverati.</t>
  </si>
  <si>
    <t>Via Karl Marx, riferimento cartografico da documentazione territoriale</t>
  </si>
  <si>
    <t>https://www.slideshare.net/slideshow/cre02-presentazione-sia-rp-rev-b/40194553</t>
  </si>
  <si>
    <t>Coordinate WGS84 pubblicate per punti di monitoraggio su Via Karl Marx; usate come riferimento dell opera.</t>
  </si>
  <si>
    <t>Scuola San Giovanni Bosco, Via Bismantova 23</t>
  </si>
  <si>
    <t>https://www.comune.reggioemilia.it/</t>
  </si>
  <si>
    <t>Coordinate del civico/edificio scolastico.</t>
  </si>
  <si>
    <t>Centro Internazionale Loris Malaguzzi, Viale Ramazzini 72/A</t>
  </si>
  <si>
    <t>https://censimentoarchitetturecontemporanee.cultura.gov.it/</t>
  </si>
  <si>
    <t>Coordinate pubblicate in banca dati culturale; indirizzo confermato dal Comune.</t>
  </si>
  <si>
    <t>Stesso edificio della riga 80.</t>
  </si>
  <si>
    <t>Convenzionale</t>
  </si>
  <si>
    <t>CONVENZIONALE</t>
  </si>
  <si>
    <t>Sede CUED/Sistemi Informativi, Piazza Pietro Scapinelli 2</t>
  </si>
  <si>
    <t>Progetto digitale senza sede fisica: localizzazione convenzionale presso CUED.</t>
  </si>
  <si>
    <t>Progetto SUAP/SUE digitale: sede convenzionale CUED, non sede fisica del progetto.</t>
  </si>
  <si>
    <t>SETA, Via del Chionso 50</t>
  </si>
  <si>
    <t>Coordinate della sede/impianto SETA.</t>
  </si>
  <si>
    <t>Rappresentativo area</t>
  </si>
  <si>
    <t>Piazzale Europa</t>
  </si>
  <si>
    <t>https://www.distancesfrom.com/it/Piazzale-Europa-latitude-longitude-Piazzale-Europa-latitude-Piazzale-Europa-longitude/LatLongHistory/14034637.aspx</t>
  </si>
  <si>
    <t>Punto rappresentativo del Piazzale Europa.</t>
  </si>
  <si>
    <t>Stesso CUP della riga 50; progetto multisito</t>
  </si>
  <si>
    <t>Attivita corrente collegata allo stesso CUP; marker rappresentativo Via Brigata Reggio 30.</t>
  </si>
  <si>
    <t>Stesso CUP della riga 52, immobile Via Dalmazia 85</t>
  </si>
  <si>
    <t>Attivita corrente collegata al progetto fisico della riga 52.</t>
  </si>
  <si>
    <t>Stesso CUP della riga 53, Via Kennedy 15-17</t>
  </si>
  <si>
    <t>Attivita corrente collegata al progetto fisico della riga 53.</t>
  </si>
  <si>
    <t>NON GEOLOCALIZZATO</t>
  </si>
  <si>
    <t>N/A</t>
  </si>
  <si>
    <t>Nessuna coordinata inserita per evitare rappresentazioni fuorvianti</t>
  </si>
  <si>
    <t>Intervento su residenze/alloggi diffusi; nessun singolo indirizzo univoco nella tabella.</t>
  </si>
  <si>
    <t>LASCIATO VUOTO</t>
  </si>
  <si>
    <t>FUORI PERIMETRO</t>
  </si>
  <si>
    <t>Immobile a Montecavolo, Comune di Quattro Castella: fuori dal perimetro comunale di Reggio Emilia.</t>
  </si>
  <si>
    <t>INTERVENTO DIFFUSO</t>
  </si>
  <si>
    <t>Illuminazione pubblica su varie vie: un singolo marker sarebbe fuorviante.</t>
  </si>
  <si>
    <t>varie vie: I lavori saranno esegui* nel Comune di Reggio Emilia nelle seguen* vie:
Via Foscato Via Asiago Via Tassoni Via Terrachini Via Malaguzzi Via Podgora
Via Debeli Via Vigarani Via AicardiVia Borciani Via Livi Via Caselli Via Corti</t>
  </si>
  <si>
    <t>Impianti di illuminazione su molte vie: preferibile layer multi-point/lineare.</t>
  </si>
  <si>
    <t>15 attraversamenti pedonali distribuiti su piu arterie: preferibile layer multi-point.</t>
  </si>
  <si>
    <t>INTERVENTO MULTI-SEDE</t>
  </si>
  <si>
    <t>Centri di facilitazione digitale su sedi diverse; non esiste una coordinata unica.</t>
  </si>
  <si>
    <t>SERVIZIO SENZA SEDE UNICA</t>
  </si>
  <si>
    <t>Attivita di parte corrente PIPPI; non associabile correttamente a un singolo punto fisico.</t>
  </si>
  <si>
    <t>SERVIZIO/ALLOGGI DIFFUSI</t>
  </si>
  <si>
    <t>Parte corrente collegata a intervento su alloggi diffusi; nessun punto unico.</t>
  </si>
  <si>
    <t>Servizio sociale domiciliare; non associabile correttamente a un singolo punto fisico.</t>
  </si>
  <si>
    <t>Attivita organizzativa/formativa contro burn-out; nessuna sede fisica di progetto univoca.</t>
  </si>
  <si>
    <t>Progetto del Comune di Quattro Castella / Montecavolo, fuori dal perimetro comunale di Reggio Emilia.</t>
  </si>
  <si>
    <t>NON PROGETTO</t>
  </si>
  <si>
    <t>Riga di intestazione/classificazione</t>
  </si>
  <si>
    <t>Riga intestazione misura, non progetto CUP</t>
  </si>
  <si>
    <t>LEGENDA</t>
  </si>
  <si>
    <t>POI/edificio/area con coordinata direttamente disponibile o fortemente corroborata.</t>
  </si>
  <si>
    <t>Indirizzo certo ma coordinata rappresentativa di via/area o ricostruita da riferimenti cartografici vicini.</t>
  </si>
  <si>
    <t>Punto rappresentativo/centroide per opera lineare, diffusa o con precisione limitata.</t>
  </si>
  <si>
    <t>Progetto senza sede fisica posizionato per esigenze di visualizzazione presso la sede CUED; non indica luogo di esecuzione.</t>
  </si>
  <si>
    <t>COMUNE DI REGGIO EMILIA [UBICAZIONE PLURIMA – NON PUNTUALE, COORDINATE NON APPLICABILI]</t>
  </si>
  <si>
    <t>varie vie [UBICAZIONE PLURIMA – NON PUNTUALE, COORDINATE NON APPLICABILI]</t>
  </si>
  <si>
    <t>varie vie: I lavori saranno esegui* nel Comune di Reggio Emilia nelle seguen* vie:
Via Foscato Via Asiago Via Tassoni Via Terrachini Via Malaguzzi Via Podgora
Via Debeli Via Vigarani Via AicardiVia Borciani Via Livi Via Caselli Via Corti [UBICAZIONE PLURIMA – NON PUNTUALE, COORDINATE NON APPLICABILI]</t>
  </si>
  <si>
    <t>varie vie: L'intervento interesserà in tutto 15 attraversamenti pedonali distribuiti lungo arterie di grande traffico della città:N° 5 in viale Timavo, N° 3 in viale dei Mille, N° 3 in viale Piave, N° 2 in via Vico, N° 1 in via Newton, N° 1 in via G. Bruno. [UBICAZIONE PLURIMA – NON PUNTUALE, COORDINATE NON APPLICABILI]</t>
  </si>
  <si>
    <t>SEDI VARIE DEI CENTRI DI FACILITAZIONE DIGITALE [UBICAZIONE PLURIMA – NON PUNTUALE, COORDINATE NON APPLICABILI]</t>
  </si>
  <si>
    <t>SENZA SEDE FISICA - idealmente sede CUED in P.zza Scapinelli 19</t>
  </si>
  <si>
    <t>LATITUDINE FINE</t>
  </si>
  <si>
    <t>LONGITUDINE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</si>
</sst>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410]\ #,##0.00;[Red]\-[$€-410]\ #,##0.00"/>
    <numFmt numFmtId="165" formatCode="0.000000"/>
    <numFmt numFmtId="166" formatCode="0&quot;%&quot;"/>
  </numFmts>
  <fonts count="28" x14ac:knownFonts="1"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trike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Titillium Web"/>
    </font>
    <font>
      <sz val="10"/>
      <name val="Titillium Web"/>
    </font>
    <font>
      <b/>
      <sz val="10"/>
      <name val="Titillium Web"/>
    </font>
    <font>
      <sz val="10"/>
      <color indexed="8"/>
      <name val="Titillium Web"/>
    </font>
    <font>
      <sz val="11"/>
      <name val="Titillium Web"/>
    </font>
    <font>
      <sz val="10"/>
      <color indexed="60"/>
      <name val="Titillium Web"/>
    </font>
    <font>
      <b/>
      <sz val="11"/>
      <name val="Titillium Web"/>
    </font>
    <font>
      <sz val="12"/>
      <name val="Titillium Web"/>
    </font>
    <font>
      <b/>
      <i/>
      <sz val="10"/>
      <name val="Titillium Web"/>
    </font>
    <font>
      <b/>
      <sz val="10"/>
      <color rgb="FF000000"/>
      <name val="Titillium Web"/>
    </font>
    <font>
      <i/>
      <sz val="10"/>
      <name val="Titillium Web"/>
    </font>
    <font>
      <sz val="9"/>
      <color indexed="81"/>
      <name val="Tahoma"/>
      <family val="2"/>
    </font>
    <font>
      <sz val="10"/>
      <color rgb="FF000000"/>
      <name val="Titillium Web"/>
    </font>
    <font>
      <i/>
      <sz val="10"/>
      <color rgb="FF000000"/>
      <name val="Titillium Web"/>
    </font>
    <font>
      <b/>
      <i/>
      <sz val="10"/>
      <color rgb="FF000000"/>
      <name val="Titillium Web"/>
    </font>
    <font>
      <b/>
      <i/>
      <sz val="12"/>
      <color rgb="FFFFFFFF"/>
      <name val="Titillium Web"/>
    </font>
    <font>
      <b/>
      <sz val="11"/>
      <color rgb="FFFF0000"/>
      <name val="Titillium Web"/>
    </font>
    <font>
      <sz val="10"/>
      <color rgb="FFFF0000"/>
      <name val="Titillium Web"/>
    </font>
    <font>
      <sz val="12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indexed="9"/>
        <bgColor indexed="26"/>
      </patternFill>
    </fill>
    <fill>
      <patternFill patternType="solid">
        <fgColor indexed="43"/>
        <bgColor indexed="26"/>
      </patternFill>
    </fill>
    <fill>
      <patternFill patternType="solid">
        <fgColor indexed="55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24"/>
        <bgColor indexed="23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indexed="22"/>
      </patternFill>
    </fill>
    <fill>
      <patternFill patternType="solid">
        <fgColor theme="2" tint="-9.9978637043366805E-2"/>
        <bgColor indexed="26"/>
      </patternFill>
    </fill>
  </fills>
  <borders count="1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26" fillId="0" borderId="0"/>
  </cellStyleXfs>
  <cellXfs count="22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4" fontId="2" fillId="7" borderId="2" xfId="0" applyNumberFormat="1" applyFont="1" applyFill="1" applyBorder="1" applyAlignment="1">
      <alignment vertical="center" wrapText="1"/>
    </xf>
    <xf numFmtId="4" fontId="3" fillId="0" borderId="2" xfId="0" applyNumberFormat="1" applyFont="1" applyBorder="1" applyAlignment="1">
      <alignment horizontal="right" vertical="center" wrapText="1"/>
    </xf>
    <xf numFmtId="4" fontId="3" fillId="0" borderId="2" xfId="0" applyNumberFormat="1" applyFont="1" applyBorder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4" fontId="2" fillId="7" borderId="2" xfId="0" applyNumberFormat="1" applyFont="1" applyFill="1" applyBorder="1" applyAlignment="1">
      <alignment horizontal="right" vertical="center" wrapText="1"/>
    </xf>
    <xf numFmtId="0" fontId="0" fillId="0" borderId="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4" fontId="0" fillId="0" borderId="3" xfId="0" applyNumberFormat="1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4" fontId="3" fillId="0" borderId="3" xfId="0" applyNumberFormat="1" applyFont="1" applyBorder="1" applyAlignment="1">
      <alignment vertical="center" wrapText="1"/>
    </xf>
    <xf numFmtId="0" fontId="0" fillId="0" borderId="4" xfId="0" applyBorder="1"/>
    <xf numFmtId="4" fontId="3" fillId="0" borderId="0" xfId="0" applyNumberFormat="1" applyFont="1" applyBorder="1" applyAlignment="1">
      <alignment horizontal="right" vertical="center" wrapText="1"/>
    </xf>
    <xf numFmtId="0" fontId="8" fillId="18" borderId="5" xfId="0" applyFont="1" applyFill="1" applyBorder="1" applyAlignment="1">
      <alignment horizontal="center" vertical="center" wrapText="1"/>
    </xf>
    <xf numFmtId="0" fontId="9" fillId="0" borderId="5" xfId="0" applyFont="1" applyBorder="1"/>
    <xf numFmtId="0" fontId="10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9" fillId="9" borderId="5" xfId="0" applyFont="1" applyFill="1" applyBorder="1" applyAlignment="1">
      <alignment horizontal="center" vertical="center" wrapText="1"/>
    </xf>
    <xf numFmtId="0" fontId="9" fillId="19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9" fillId="3" borderId="5" xfId="0" applyNumberFormat="1" applyFont="1" applyFill="1" applyBorder="1" applyAlignment="1">
      <alignment horizontal="center" vertical="center" wrapText="1"/>
    </xf>
    <xf numFmtId="165" fontId="9" fillId="3" borderId="5" xfId="0" applyNumberFormat="1" applyFont="1" applyFill="1" applyBorder="1" applyAlignment="1">
      <alignment horizontal="right" vertical="center" wrapText="1"/>
    </xf>
    <xf numFmtId="164" fontId="9" fillId="0" borderId="5" xfId="0" applyNumberFormat="1" applyFont="1" applyBorder="1" applyAlignment="1">
      <alignment horizontal="right" vertical="center" wrapText="1"/>
    </xf>
    <xf numFmtId="164" fontId="11" fillId="0" borderId="5" xfId="0" applyNumberFormat="1" applyFont="1" applyBorder="1" applyAlignment="1">
      <alignment horizontal="right" vertical="center" wrapText="1"/>
    </xf>
    <xf numFmtId="0" fontId="12" fillId="10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 wrapText="1"/>
    </xf>
    <xf numFmtId="164" fontId="9" fillId="8" borderId="5" xfId="0" applyNumberFormat="1" applyFont="1" applyFill="1" applyBorder="1" applyAlignment="1">
      <alignment horizontal="right" vertical="center" wrapText="1"/>
    </xf>
    <xf numFmtId="164" fontId="13" fillId="8" borderId="5" xfId="0" applyNumberFormat="1" applyFont="1" applyFill="1" applyBorder="1" applyAlignment="1">
      <alignment horizontal="right" vertical="center" wrapText="1"/>
    </xf>
    <xf numFmtId="164" fontId="9" fillId="5" borderId="5" xfId="0" applyNumberFormat="1" applyFont="1" applyFill="1" applyBorder="1" applyAlignment="1">
      <alignment horizontal="right" vertical="center" wrapText="1"/>
    </xf>
    <xf numFmtId="0" fontId="9" fillId="12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165" fontId="14" fillId="0" borderId="5" xfId="0" applyNumberFormat="1" applyFont="1" applyBorder="1" applyAlignment="1">
      <alignment horizontal="right" vertical="center" wrapText="1"/>
    </xf>
    <xf numFmtId="164" fontId="10" fillId="0" borderId="5" xfId="0" applyNumberFormat="1" applyFont="1" applyBorder="1" applyAlignment="1">
      <alignment horizontal="right" vertical="center" wrapText="1"/>
    </xf>
    <xf numFmtId="164" fontId="14" fillId="0" borderId="5" xfId="0" applyNumberFormat="1" applyFont="1" applyBorder="1" applyAlignment="1">
      <alignment horizontal="right" vertical="center" wrapText="1"/>
    </xf>
    <xf numFmtId="165" fontId="10" fillId="2" borderId="5" xfId="0" applyNumberFormat="1" applyFont="1" applyFill="1" applyBorder="1" applyAlignment="1">
      <alignment horizontal="right" vertical="center" wrapText="1"/>
    </xf>
    <xf numFmtId="0" fontId="10" fillId="2" borderId="5" xfId="0" applyFont="1" applyFill="1" applyBorder="1" applyAlignment="1">
      <alignment horizontal="right" vertical="center" wrapText="1"/>
    </xf>
    <xf numFmtId="164" fontId="13" fillId="0" borderId="5" xfId="0" applyNumberFormat="1" applyFont="1" applyBorder="1" applyAlignment="1">
      <alignment horizontal="right" vertical="center" wrapText="1"/>
    </xf>
    <xf numFmtId="164" fontId="9" fillId="0" borderId="5" xfId="0" applyNumberFormat="1" applyFont="1" applyBorder="1" applyAlignment="1">
      <alignment horizontal="center" vertical="center" wrapText="1"/>
    </xf>
    <xf numFmtId="165" fontId="9" fillId="0" borderId="5" xfId="0" applyNumberFormat="1" applyFont="1" applyBorder="1" applyAlignment="1">
      <alignment horizontal="right" vertical="center" wrapText="1"/>
    </xf>
    <xf numFmtId="0" fontId="9" fillId="13" borderId="5" xfId="0" applyFont="1" applyFill="1" applyBorder="1" applyAlignment="1">
      <alignment horizontal="center" vertical="center" wrapText="1"/>
    </xf>
    <xf numFmtId="164" fontId="11" fillId="3" borderId="5" xfId="0" applyNumberFormat="1" applyFont="1" applyFill="1" applyBorder="1" applyAlignment="1">
      <alignment horizontal="center" vertical="center" wrapText="1"/>
    </xf>
    <xf numFmtId="0" fontId="9" fillId="14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wrapText="1"/>
    </xf>
    <xf numFmtId="164" fontId="11" fillId="8" borderId="5" xfId="0" applyNumberFormat="1" applyFont="1" applyFill="1" applyBorder="1" applyAlignment="1">
      <alignment horizontal="right" vertical="center" wrapText="1"/>
    </xf>
    <xf numFmtId="0" fontId="9" fillId="15" borderId="5" xfId="0" applyFont="1" applyFill="1" applyBorder="1" applyAlignment="1">
      <alignment horizontal="center" vertical="center" wrapText="1"/>
    </xf>
    <xf numFmtId="164" fontId="9" fillId="6" borderId="5" xfId="0" applyNumberFormat="1" applyFont="1" applyFill="1" applyBorder="1" applyAlignment="1">
      <alignment horizontal="right" vertical="center" wrapText="1"/>
    </xf>
    <xf numFmtId="0" fontId="10" fillId="0" borderId="5" xfId="0" applyFont="1" applyBorder="1" applyAlignment="1">
      <alignment horizontal="center" vertical="center" wrapText="1"/>
    </xf>
    <xf numFmtId="0" fontId="9" fillId="5" borderId="5" xfId="0" applyFont="1" applyFill="1" applyBorder="1" applyAlignment="1">
      <alignment horizontal="right" vertical="center" wrapText="1"/>
    </xf>
    <xf numFmtId="0" fontId="9" fillId="16" borderId="5" xfId="0" applyFont="1" applyFill="1" applyBorder="1" applyAlignment="1">
      <alignment horizontal="center" vertical="center" wrapText="1"/>
    </xf>
    <xf numFmtId="165" fontId="15" fillId="3" borderId="5" xfId="0" applyNumberFormat="1" applyFont="1" applyFill="1" applyBorder="1" applyAlignment="1">
      <alignment horizontal="right" vertical="center" wrapText="1"/>
    </xf>
    <xf numFmtId="0" fontId="9" fillId="17" borderId="5" xfId="0" applyFont="1" applyFill="1" applyBorder="1" applyAlignment="1">
      <alignment horizontal="center" vertical="center" wrapText="1"/>
    </xf>
    <xf numFmtId="165" fontId="9" fillId="0" borderId="5" xfId="0" applyNumberFormat="1" applyFont="1" applyBorder="1" applyAlignment="1">
      <alignment horizontal="right"/>
    </xf>
    <xf numFmtId="49" fontId="17" fillId="11" borderId="5" xfId="0" applyNumberFormat="1" applyFont="1" applyFill="1" applyBorder="1" applyAlignment="1">
      <alignment horizontal="center" vertical="center" wrapText="1"/>
    </xf>
    <xf numFmtId="49" fontId="17" fillId="11" borderId="5" xfId="0" applyNumberFormat="1" applyFont="1" applyFill="1" applyBorder="1" applyAlignment="1">
      <alignment horizontal="right" vertical="center" wrapText="1"/>
    </xf>
    <xf numFmtId="0" fontId="9" fillId="15" borderId="5" xfId="0" applyFont="1" applyFill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4" fontId="9" fillId="0" borderId="5" xfId="0" applyNumberFormat="1" applyFont="1" applyBorder="1" applyAlignment="1">
      <alignment horizontal="right" vertical="center" wrapText="1"/>
    </xf>
    <xf numFmtId="0" fontId="9" fillId="0" borderId="5" xfId="0" applyFont="1" applyBorder="1" applyAlignment="1">
      <alignment horizontal="right" vertical="center" wrapText="1"/>
    </xf>
    <xf numFmtId="4" fontId="18" fillId="0" borderId="5" xfId="0" applyNumberFormat="1" applyFont="1" applyBorder="1" applyAlignment="1">
      <alignment horizontal="right" vertical="center" wrapText="1"/>
    </xf>
    <xf numFmtId="0" fontId="0" fillId="0" borderId="3" xfId="0" applyBorder="1" applyAlignment="1">
      <alignment wrapText="1"/>
    </xf>
    <xf numFmtId="4" fontId="4" fillId="0" borderId="3" xfId="0" applyNumberFormat="1" applyFont="1" applyBorder="1" applyAlignment="1">
      <alignment vertical="center" wrapText="1"/>
    </xf>
    <xf numFmtId="164" fontId="9" fillId="0" borderId="10" xfId="0" applyNumberFormat="1" applyFont="1" applyBorder="1" applyAlignment="1">
      <alignment horizontal="right" vertical="center" wrapText="1"/>
    </xf>
    <xf numFmtId="164" fontId="11" fillId="0" borderId="10" xfId="0" applyNumberFormat="1" applyFont="1" applyBorder="1" applyAlignment="1">
      <alignment horizontal="right" vertical="center" wrapText="1"/>
    </xf>
    <xf numFmtId="164" fontId="14" fillId="0" borderId="10" xfId="0" applyNumberFormat="1" applyFont="1" applyBorder="1" applyAlignment="1">
      <alignment horizontal="right" vertical="center" wrapText="1"/>
    </xf>
    <xf numFmtId="166" fontId="20" fillId="0" borderId="5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/>
    </xf>
    <xf numFmtId="166" fontId="20" fillId="2" borderId="5" xfId="0" applyNumberFormat="1" applyFont="1" applyFill="1" applyBorder="1" applyAlignment="1">
      <alignment horizontal="center" vertical="center" wrapText="1"/>
    </xf>
    <xf numFmtId="14" fontId="20" fillId="2" borderId="5" xfId="0" applyNumberFormat="1" applyFont="1" applyFill="1" applyBorder="1" applyAlignment="1">
      <alignment horizontal="center" vertical="center" wrapText="1"/>
    </xf>
    <xf numFmtId="14" fontId="20" fillId="4" borderId="5" xfId="0" applyNumberFormat="1" applyFont="1" applyFill="1" applyBorder="1" applyAlignment="1">
      <alignment horizontal="center" vertical="center"/>
    </xf>
    <xf numFmtId="166" fontId="20" fillId="4" borderId="5" xfId="0" applyNumberFormat="1" applyFont="1" applyFill="1" applyBorder="1" applyAlignment="1">
      <alignment horizontal="center" vertical="center" wrapText="1"/>
    </xf>
    <xf numFmtId="166" fontId="20" fillId="0" borderId="5" xfId="0" applyNumberFormat="1" applyFont="1" applyBorder="1" applyAlignment="1">
      <alignment horizontal="center"/>
    </xf>
    <xf numFmtId="166" fontId="20" fillId="11" borderId="5" xfId="0" applyNumberFormat="1" applyFont="1" applyFill="1" applyBorder="1" applyAlignment="1">
      <alignment horizontal="center" vertical="center" wrapText="1"/>
    </xf>
    <xf numFmtId="14" fontId="20" fillId="11" borderId="5" xfId="0" applyNumberFormat="1" applyFont="1" applyFill="1" applyBorder="1" applyAlignment="1">
      <alignment horizontal="center" vertical="center" wrapText="1"/>
    </xf>
    <xf numFmtId="166" fontId="21" fillId="0" borderId="5" xfId="0" applyNumberFormat="1" applyFont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166" fontId="20" fillId="0" borderId="5" xfId="0" applyNumberFormat="1" applyFont="1" applyFill="1" applyBorder="1" applyAlignment="1">
      <alignment horizontal="center" vertical="center"/>
    </xf>
    <xf numFmtId="14" fontId="20" fillId="0" borderId="5" xfId="0" applyNumberFormat="1" applyFont="1" applyFill="1" applyBorder="1" applyAlignment="1">
      <alignment horizontal="center" vertical="center"/>
    </xf>
    <xf numFmtId="164" fontId="9" fillId="0" borderId="5" xfId="0" applyNumberFormat="1" applyFont="1" applyFill="1" applyBorder="1" applyAlignment="1">
      <alignment horizontal="center" vertical="center" wrapText="1"/>
    </xf>
    <xf numFmtId="165" fontId="9" fillId="0" borderId="5" xfId="0" applyNumberFormat="1" applyFont="1" applyFill="1" applyBorder="1" applyAlignment="1">
      <alignment horizontal="right" vertical="center" wrapText="1"/>
    </xf>
    <xf numFmtId="164" fontId="9" fillId="0" borderId="5" xfId="0" applyNumberFormat="1" applyFont="1" applyFill="1" applyBorder="1" applyAlignment="1">
      <alignment horizontal="right" vertical="center" wrapText="1"/>
    </xf>
    <xf numFmtId="0" fontId="9" fillId="0" borderId="5" xfId="0" applyFont="1" applyFill="1" applyBorder="1" applyAlignment="1">
      <alignment horizontal="center"/>
    </xf>
    <xf numFmtId="0" fontId="9" fillId="0" borderId="5" xfId="0" applyFont="1" applyFill="1" applyBorder="1" applyAlignment="1">
      <alignment horizontal="center" wrapText="1"/>
    </xf>
    <xf numFmtId="4" fontId="2" fillId="0" borderId="2" xfId="0" applyNumberFormat="1" applyFont="1" applyFill="1" applyBorder="1" applyAlignment="1">
      <alignment vertical="center" wrapText="1"/>
    </xf>
    <xf numFmtId="4" fontId="3" fillId="0" borderId="2" xfId="0" applyNumberFormat="1" applyFont="1" applyFill="1" applyBorder="1" applyAlignment="1">
      <alignment horizontal="right" vertical="center" wrapText="1"/>
    </xf>
    <xf numFmtId="0" fontId="3" fillId="0" borderId="0" xfId="0" applyFont="1" applyFill="1" applyAlignment="1">
      <alignment horizontal="right" vertical="center" wrapText="1"/>
    </xf>
    <xf numFmtId="4" fontId="2" fillId="0" borderId="2" xfId="0" applyNumberFormat="1" applyFont="1" applyFill="1" applyBorder="1" applyAlignment="1">
      <alignment horizontal="right" vertical="center" wrapText="1"/>
    </xf>
    <xf numFmtId="4" fontId="3" fillId="0" borderId="2" xfId="0" applyNumberFormat="1" applyFont="1" applyFill="1" applyBorder="1" applyAlignment="1">
      <alignment vertical="center" wrapText="1"/>
    </xf>
    <xf numFmtId="0" fontId="0" fillId="0" borderId="0" xfId="0" applyFill="1"/>
    <xf numFmtId="4" fontId="16" fillId="0" borderId="5" xfId="0" applyNumberFormat="1" applyFont="1" applyFill="1" applyBorder="1" applyAlignment="1">
      <alignment vertical="center" wrapText="1"/>
    </xf>
    <xf numFmtId="4" fontId="16" fillId="0" borderId="5" xfId="0" applyNumberFormat="1" applyFont="1" applyFill="1" applyBorder="1" applyAlignment="1">
      <alignment horizontal="right" vertical="center" wrapText="1"/>
    </xf>
    <xf numFmtId="4" fontId="3" fillId="0" borderId="0" xfId="0" applyNumberFormat="1" applyFont="1" applyFill="1" applyBorder="1" applyAlignment="1">
      <alignment vertical="center" wrapText="1"/>
    </xf>
    <xf numFmtId="4" fontId="3" fillId="0" borderId="0" xfId="0" applyNumberFormat="1" applyFont="1" applyBorder="1" applyAlignment="1">
      <alignment vertical="center" wrapText="1"/>
    </xf>
    <xf numFmtId="0" fontId="10" fillId="0" borderId="5" xfId="0" applyFont="1" applyBorder="1" applyAlignment="1">
      <alignment horizontal="center"/>
    </xf>
    <xf numFmtId="166" fontId="22" fillId="0" borderId="5" xfId="0" applyNumberFormat="1" applyFont="1" applyBorder="1" applyAlignment="1">
      <alignment horizontal="center" vertical="center" wrapText="1"/>
    </xf>
    <xf numFmtId="14" fontId="17" fillId="0" borderId="5" xfId="0" applyNumberFormat="1" applyFont="1" applyBorder="1" applyAlignment="1">
      <alignment horizontal="center" vertical="center"/>
    </xf>
    <xf numFmtId="165" fontId="10" fillId="3" borderId="5" xfId="0" applyNumberFormat="1" applyFont="1" applyFill="1" applyBorder="1" applyAlignment="1">
      <alignment horizontal="right" vertical="center" wrapText="1"/>
    </xf>
    <xf numFmtId="165" fontId="10" fillId="3" borderId="5" xfId="0" applyNumberFormat="1" applyFont="1" applyFill="1" applyBorder="1" applyAlignment="1">
      <alignment horizontal="center" vertical="center" wrapText="1"/>
    </xf>
    <xf numFmtId="164" fontId="16" fillId="0" borderId="5" xfId="0" applyNumberFormat="1" applyFont="1" applyBorder="1" applyAlignment="1">
      <alignment horizontal="right" vertical="center" wrapText="1"/>
    </xf>
    <xf numFmtId="0" fontId="9" fillId="0" borderId="6" xfId="0" applyFont="1" applyBorder="1" applyAlignment="1">
      <alignment horizontal="center"/>
    </xf>
    <xf numFmtId="0" fontId="9" fillId="15" borderId="6" xfId="0" applyFont="1" applyFill="1" applyBorder="1" applyAlignment="1">
      <alignment vertical="center" wrapText="1"/>
    </xf>
    <xf numFmtId="0" fontId="9" fillId="19" borderId="6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166" fontId="21" fillId="0" borderId="6" xfId="0" applyNumberFormat="1" applyFont="1" applyBorder="1" applyAlignment="1">
      <alignment horizontal="center" vertical="center" wrapText="1"/>
    </xf>
    <xf numFmtId="14" fontId="20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165" fontId="9" fillId="3" borderId="6" xfId="0" applyNumberFormat="1" applyFont="1" applyFill="1" applyBorder="1" applyAlignment="1">
      <alignment horizontal="right" vertical="center" wrapText="1"/>
    </xf>
    <xf numFmtId="4" fontId="9" fillId="0" borderId="6" xfId="0" applyNumberFormat="1" applyFont="1" applyBorder="1" applyAlignment="1">
      <alignment horizontal="right" vertical="center" wrapText="1"/>
    </xf>
    <xf numFmtId="0" fontId="9" fillId="0" borderId="6" xfId="0" applyFont="1" applyBorder="1" applyAlignment="1">
      <alignment horizontal="right" vertical="center" wrapText="1"/>
    </xf>
    <xf numFmtId="4" fontId="18" fillId="0" borderId="6" xfId="0" applyNumberFormat="1" applyFont="1" applyBorder="1" applyAlignment="1">
      <alignment horizontal="right" vertical="center" wrapText="1"/>
    </xf>
    <xf numFmtId="0" fontId="9" fillId="0" borderId="11" xfId="0" applyFont="1" applyBorder="1"/>
    <xf numFmtId="0" fontId="9" fillId="0" borderId="11" xfId="0" applyFont="1" applyBorder="1" applyAlignment="1">
      <alignment horizontal="center" vertical="center" wrapText="1"/>
    </xf>
    <xf numFmtId="164" fontId="9" fillId="0" borderId="11" xfId="0" applyNumberFormat="1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/>
    </xf>
    <xf numFmtId="165" fontId="10" fillId="0" borderId="5" xfId="0" applyNumberFormat="1" applyFont="1" applyBorder="1" applyAlignment="1">
      <alignment horizontal="right" vertical="center" wrapText="1"/>
    </xf>
    <xf numFmtId="165" fontId="10" fillId="0" borderId="5" xfId="0" applyNumberFormat="1" applyFont="1" applyBorder="1" applyAlignment="1">
      <alignment horizontal="center" vertical="center" wrapText="1"/>
    </xf>
    <xf numFmtId="165" fontId="9" fillId="0" borderId="6" xfId="0" applyNumberFormat="1" applyFont="1" applyBorder="1" applyAlignment="1">
      <alignment horizontal="right" vertical="center" wrapText="1"/>
    </xf>
    <xf numFmtId="0" fontId="18" fillId="0" borderId="11" xfId="0" applyFont="1" applyBorder="1" applyAlignment="1">
      <alignment horizontal="right" vertical="center" wrapText="1"/>
    </xf>
    <xf numFmtId="0" fontId="9" fillId="0" borderId="11" xfId="0" applyFont="1" applyBorder="1" applyAlignment="1">
      <alignment vertical="center" wrapText="1"/>
    </xf>
    <xf numFmtId="166" fontId="21" fillId="0" borderId="11" xfId="0" applyNumberFormat="1" applyFont="1" applyBorder="1" applyAlignment="1">
      <alignment horizontal="center" vertical="center" wrapText="1"/>
    </xf>
    <xf numFmtId="14" fontId="20" fillId="0" borderId="11" xfId="0" applyNumberFormat="1" applyFont="1" applyBorder="1" applyAlignment="1">
      <alignment horizontal="center" vertical="center" wrapText="1"/>
    </xf>
    <xf numFmtId="165" fontId="9" fillId="0" borderId="11" xfId="0" applyNumberFormat="1" applyFont="1" applyBorder="1" applyAlignment="1">
      <alignment horizontal="right" vertical="center" wrapText="1"/>
    </xf>
    <xf numFmtId="4" fontId="9" fillId="0" borderId="11" xfId="0" applyNumberFormat="1" applyFont="1" applyBorder="1" applyAlignment="1">
      <alignment horizontal="right" vertical="center" wrapText="1"/>
    </xf>
    <xf numFmtId="0" fontId="9" fillId="0" borderId="11" xfId="0" applyFont="1" applyBorder="1" applyAlignment="1">
      <alignment horizontal="right" vertical="center" wrapText="1"/>
    </xf>
    <xf numFmtId="4" fontId="18" fillId="0" borderId="11" xfId="0" applyNumberFormat="1" applyFont="1" applyBorder="1" applyAlignment="1">
      <alignment horizontal="right" vertical="center" wrapText="1"/>
    </xf>
    <xf numFmtId="4" fontId="3" fillId="0" borderId="0" xfId="0" applyNumberFormat="1" applyFont="1" applyFill="1" applyBorder="1" applyAlignment="1">
      <alignment horizontal="right" vertical="center" wrapText="1"/>
    </xf>
    <xf numFmtId="166" fontId="17" fillId="0" borderId="5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wrapText="1"/>
    </xf>
    <xf numFmtId="0" fontId="9" fillId="9" borderId="6" xfId="0" applyFont="1" applyFill="1" applyBorder="1" applyAlignment="1">
      <alignment horizontal="center" vertical="center" wrapText="1"/>
    </xf>
    <xf numFmtId="166" fontId="20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wrapText="1"/>
    </xf>
    <xf numFmtId="164" fontId="9" fillId="0" borderId="6" xfId="0" applyNumberFormat="1" applyFont="1" applyBorder="1" applyAlignment="1">
      <alignment horizontal="right" vertical="center" wrapText="1"/>
    </xf>
    <xf numFmtId="0" fontId="9" fillId="0" borderId="11" xfId="0" applyFont="1" applyBorder="1" applyAlignment="1">
      <alignment horizontal="center"/>
    </xf>
    <xf numFmtId="166" fontId="20" fillId="0" borderId="11" xfId="0" applyNumberFormat="1" applyFont="1" applyBorder="1" applyAlignment="1">
      <alignment horizontal="center"/>
    </xf>
    <xf numFmtId="14" fontId="20" fillId="0" borderId="11" xfId="0" applyNumberFormat="1" applyFont="1" applyBorder="1" applyAlignment="1">
      <alignment horizontal="center"/>
    </xf>
    <xf numFmtId="165" fontId="9" fillId="0" borderId="11" xfId="0" applyNumberFormat="1" applyFont="1" applyBorder="1" applyAlignment="1">
      <alignment horizontal="right"/>
    </xf>
    <xf numFmtId="164" fontId="9" fillId="0" borderId="11" xfId="0" applyNumberFormat="1" applyFont="1" applyBorder="1" applyAlignment="1">
      <alignment horizontal="right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166" fontId="20" fillId="2" borderId="11" xfId="0" applyNumberFormat="1" applyFont="1" applyFill="1" applyBorder="1" applyAlignment="1">
      <alignment horizontal="center" vertical="center" wrapText="1"/>
    </xf>
    <xf numFmtId="14" fontId="20" fillId="2" borderId="11" xfId="0" applyNumberFormat="1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right" vertical="center" wrapText="1"/>
    </xf>
    <xf numFmtId="14" fontId="17" fillId="0" borderId="5" xfId="0" applyNumberFormat="1" applyFont="1" applyBorder="1" applyAlignment="1">
      <alignment horizontal="center"/>
    </xf>
    <xf numFmtId="0" fontId="9" fillId="17" borderId="6" xfId="0" applyFont="1" applyFill="1" applyBorder="1" applyAlignment="1">
      <alignment horizontal="center" vertical="center" wrapText="1"/>
    </xf>
    <xf numFmtId="14" fontId="20" fillId="0" borderId="6" xfId="0" applyNumberFormat="1" applyFont="1" applyBorder="1" applyAlignment="1">
      <alignment horizontal="center"/>
    </xf>
    <xf numFmtId="0" fontId="10" fillId="3" borderId="5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166" fontId="22" fillId="0" borderId="6" xfId="0" applyNumberFormat="1" applyFont="1" applyBorder="1" applyAlignment="1">
      <alignment horizontal="center" vertical="center" wrapText="1"/>
    </xf>
    <xf numFmtId="14" fontId="17" fillId="0" borderId="6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165" fontId="10" fillId="3" borderId="6" xfId="0" applyNumberFormat="1" applyFont="1" applyFill="1" applyBorder="1" applyAlignment="1">
      <alignment horizontal="center" vertical="center" wrapText="1"/>
    </xf>
    <xf numFmtId="164" fontId="10" fillId="0" borderId="6" xfId="0" applyNumberFormat="1" applyFont="1" applyBorder="1" applyAlignment="1">
      <alignment horizontal="right" vertical="center" wrapText="1"/>
    </xf>
    <xf numFmtId="164" fontId="16" fillId="0" borderId="6" xfId="0" applyNumberFormat="1" applyFont="1" applyBorder="1" applyAlignment="1">
      <alignment horizontal="right" vertical="center" wrapText="1"/>
    </xf>
    <xf numFmtId="0" fontId="8" fillId="18" borderId="14" xfId="0" applyFont="1" applyFill="1" applyBorder="1" applyAlignment="1">
      <alignment horizontal="center"/>
    </xf>
    <xf numFmtId="0" fontId="8" fillId="18" borderId="14" xfId="0" applyFont="1" applyFill="1" applyBorder="1" applyAlignment="1">
      <alignment horizontal="center"/>
    </xf>
    <xf numFmtId="166" fontId="23" fillId="18" borderId="14" xfId="0" applyNumberFormat="1" applyFont="1" applyFill="1" applyBorder="1" applyAlignment="1">
      <alignment horizontal="center" vertical="center" wrapText="1"/>
    </xf>
    <xf numFmtId="14" fontId="8" fillId="18" borderId="14" xfId="0" applyNumberFormat="1" applyFont="1" applyFill="1" applyBorder="1" applyAlignment="1">
      <alignment horizontal="center" vertical="center"/>
    </xf>
    <xf numFmtId="0" fontId="8" fillId="18" borderId="14" xfId="0" applyFont="1" applyFill="1" applyBorder="1" applyAlignment="1">
      <alignment horizontal="center" vertical="center" wrapText="1"/>
    </xf>
    <xf numFmtId="165" fontId="8" fillId="18" borderId="14" xfId="0" applyNumberFormat="1" applyFont="1" applyFill="1" applyBorder="1" applyAlignment="1">
      <alignment horizontal="center" vertical="center" wrapText="1"/>
    </xf>
    <xf numFmtId="164" fontId="8" fillId="18" borderId="14" xfId="0" applyNumberFormat="1" applyFont="1" applyFill="1" applyBorder="1" applyAlignment="1">
      <alignment horizontal="right" vertical="center" wrapText="1"/>
    </xf>
    <xf numFmtId="164" fontId="23" fillId="18" borderId="14" xfId="0" applyNumberFormat="1" applyFont="1" applyFill="1" applyBorder="1" applyAlignment="1">
      <alignment horizontal="right" vertical="center" wrapText="1"/>
    </xf>
    <xf numFmtId="164" fontId="24" fillId="0" borderId="5" xfId="0" applyNumberFormat="1" applyFont="1" applyBorder="1" applyAlignment="1">
      <alignment horizontal="right" vertical="center" wrapText="1"/>
    </xf>
    <xf numFmtId="166" fontId="20" fillId="0" borderId="5" xfId="0" applyNumberFormat="1" applyFont="1" applyFill="1" applyBorder="1" applyAlignment="1">
      <alignment horizontal="center"/>
    </xf>
    <xf numFmtId="14" fontId="20" fillId="0" borderId="5" xfId="0" applyNumberFormat="1" applyFont="1" applyFill="1" applyBorder="1" applyAlignment="1">
      <alignment horizontal="center"/>
    </xf>
    <xf numFmtId="0" fontId="7" fillId="20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5" fontId="0" fillId="0" borderId="0" xfId="0" applyNumberFormat="1" applyAlignment="1">
      <alignment vertical="top" wrapText="1"/>
    </xf>
    <xf numFmtId="0" fontId="26" fillId="0" borderId="0" xfId="2"/>
    <xf numFmtId="0" fontId="7" fillId="21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14" fontId="0" fillId="0" borderId="0" xfId="0" applyNumberFormat="1" applyAlignment="1">
      <alignment horizontal="center"/>
    </xf>
    <xf numFmtId="9" fontId="20" fillId="4" borderId="5" xfId="1" applyFont="1" applyFill="1" applyBorder="1" applyAlignment="1">
      <alignment horizontal="center" vertical="center" wrapText="1"/>
    </xf>
    <xf numFmtId="0" fontId="0" fillId="0" borderId="0" xfId="0"/>
    <xf numFmtId="9" fontId="20" fillId="0" borderId="5" xfId="1" applyFont="1" applyFill="1" applyBorder="1" applyAlignment="1">
      <alignment horizontal="center" vertical="center" wrapText="1"/>
    </xf>
    <xf numFmtId="165" fontId="17" fillId="11" borderId="5" xfId="0" applyNumberFormat="1" applyFont="1" applyFill="1" applyBorder="1" applyAlignment="1">
      <alignment horizontal="right" vertical="center" wrapText="1"/>
    </xf>
    <xf numFmtId="0" fontId="10" fillId="2" borderId="6" xfId="0" applyFont="1" applyFill="1" applyBorder="1" applyAlignment="1">
      <alignment horizontal="center" vertical="center" wrapText="1"/>
    </xf>
    <xf numFmtId="165" fontId="9" fillId="3" borderId="8" xfId="0" applyNumberFormat="1" applyFont="1" applyFill="1" applyBorder="1" applyAlignment="1">
      <alignment horizontal="right" vertical="center" wrapText="1"/>
    </xf>
    <xf numFmtId="165" fontId="9" fillId="0" borderId="8" xfId="0" applyNumberFormat="1" applyFont="1" applyFill="1" applyBorder="1" applyAlignment="1">
      <alignment horizontal="right" vertical="center" wrapText="1"/>
    </xf>
    <xf numFmtId="165" fontId="14" fillId="0" borderId="8" xfId="0" applyNumberFormat="1" applyFont="1" applyBorder="1" applyAlignment="1">
      <alignment horizontal="right" vertical="center" wrapText="1"/>
    </xf>
    <xf numFmtId="0" fontId="10" fillId="2" borderId="8" xfId="0" applyFont="1" applyFill="1" applyBorder="1" applyAlignment="1">
      <alignment horizontal="right" vertical="center" wrapText="1"/>
    </xf>
    <xf numFmtId="165" fontId="9" fillId="0" borderId="8" xfId="0" applyNumberFormat="1" applyFont="1" applyBorder="1" applyAlignment="1">
      <alignment horizontal="right" vertical="center" wrapText="1"/>
    </xf>
    <xf numFmtId="165" fontId="9" fillId="3" borderId="7" xfId="0" applyNumberFormat="1" applyFont="1" applyFill="1" applyBorder="1" applyAlignment="1">
      <alignment horizontal="right" vertical="center" wrapText="1"/>
    </xf>
    <xf numFmtId="165" fontId="10" fillId="3" borderId="8" xfId="0" applyNumberFormat="1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right" vertical="center" wrapText="1"/>
    </xf>
    <xf numFmtId="165" fontId="15" fillId="3" borderId="8" xfId="0" applyNumberFormat="1" applyFont="1" applyFill="1" applyBorder="1" applyAlignment="1">
      <alignment horizontal="right" vertical="center" wrapText="1"/>
    </xf>
    <xf numFmtId="165" fontId="9" fillId="0" borderId="12" xfId="0" applyNumberFormat="1" applyFont="1" applyBorder="1" applyAlignment="1">
      <alignment horizontal="right"/>
    </xf>
    <xf numFmtId="49" fontId="17" fillId="11" borderId="8" xfId="0" applyNumberFormat="1" applyFont="1" applyFill="1" applyBorder="1" applyAlignment="1">
      <alignment horizontal="right" vertical="center" wrapText="1"/>
    </xf>
    <xf numFmtId="165" fontId="9" fillId="0" borderId="7" xfId="0" applyNumberFormat="1" applyFont="1" applyBorder="1" applyAlignment="1">
      <alignment horizontal="right" vertical="center" wrapText="1"/>
    </xf>
    <xf numFmtId="165" fontId="10" fillId="0" borderId="8" xfId="0" applyNumberFormat="1" applyFont="1" applyBorder="1" applyAlignment="1">
      <alignment horizontal="center" vertical="center" wrapText="1"/>
    </xf>
    <xf numFmtId="165" fontId="9" fillId="0" borderId="12" xfId="0" applyNumberFormat="1" applyFont="1" applyBorder="1" applyAlignment="1">
      <alignment horizontal="right" vertical="center" wrapText="1"/>
    </xf>
    <xf numFmtId="165" fontId="10" fillId="3" borderId="7" xfId="0" applyNumberFormat="1" applyFont="1" applyFill="1" applyBorder="1" applyAlignment="1">
      <alignment horizontal="center" vertical="center" wrapText="1"/>
    </xf>
    <xf numFmtId="165" fontId="8" fillId="18" borderId="15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64" fontId="9" fillId="0" borderId="10" xfId="0" applyNumberFormat="1" applyFont="1" applyFill="1" applyBorder="1" applyAlignment="1">
      <alignment horizontal="right" vertical="center" wrapText="1"/>
    </xf>
    <xf numFmtId="164" fontId="24" fillId="3" borderId="10" xfId="0" applyNumberFormat="1" applyFont="1" applyFill="1" applyBorder="1" applyAlignment="1">
      <alignment horizontal="right" vertical="center" wrapText="1"/>
    </xf>
    <xf numFmtId="0" fontId="10" fillId="2" borderId="10" xfId="0" applyFont="1" applyFill="1" applyBorder="1" applyAlignment="1">
      <alignment horizontal="right" vertical="center" wrapText="1"/>
    </xf>
    <xf numFmtId="164" fontId="9" fillId="0" borderId="13" xfId="0" applyNumberFormat="1" applyFont="1" applyBorder="1" applyAlignment="1">
      <alignment horizontal="right" vertical="center" wrapText="1"/>
    </xf>
    <xf numFmtId="0" fontId="10" fillId="2" borderId="9" xfId="0" applyFont="1" applyFill="1" applyBorder="1" applyAlignment="1">
      <alignment horizontal="right" vertical="center" wrapText="1"/>
    </xf>
    <xf numFmtId="164" fontId="9" fillId="0" borderId="9" xfId="0" applyNumberFormat="1" applyFont="1" applyBorder="1" applyAlignment="1">
      <alignment horizontal="right" vertical="center" wrapText="1"/>
    </xf>
    <xf numFmtId="49" fontId="17" fillId="11" borderId="10" xfId="0" applyNumberFormat="1" applyFont="1" applyFill="1" applyBorder="1" applyAlignment="1">
      <alignment horizontal="right" vertical="center" wrapText="1"/>
    </xf>
    <xf numFmtId="4" fontId="9" fillId="0" borderId="10" xfId="0" applyNumberFormat="1" applyFont="1" applyBorder="1" applyAlignment="1">
      <alignment horizontal="right" vertical="center" wrapText="1"/>
    </xf>
    <xf numFmtId="4" fontId="9" fillId="0" borderId="13" xfId="0" applyNumberFormat="1" applyFont="1" applyBorder="1" applyAlignment="1">
      <alignment horizontal="right" vertical="center" wrapText="1"/>
    </xf>
    <xf numFmtId="4" fontId="9" fillId="0" borderId="9" xfId="0" applyNumberFormat="1" applyFont="1" applyBorder="1" applyAlignment="1">
      <alignment horizontal="right" vertical="center" wrapText="1"/>
    </xf>
    <xf numFmtId="164" fontId="8" fillId="18" borderId="16" xfId="0" applyNumberFormat="1" applyFont="1" applyFill="1" applyBorder="1" applyAlignment="1">
      <alignment horizontal="right" vertical="center" wrapText="1"/>
    </xf>
    <xf numFmtId="164" fontId="9" fillId="0" borderId="9" xfId="0" applyNumberFormat="1" applyFont="1" applyBorder="1" applyAlignment="1">
      <alignment horizontal="center" vertical="center" wrapText="1"/>
    </xf>
    <xf numFmtId="164" fontId="14" fillId="0" borderId="13" xfId="0" applyNumberFormat="1" applyFont="1" applyBorder="1" applyAlignment="1">
      <alignment horizontal="right" vertical="center" wrapText="1"/>
    </xf>
    <xf numFmtId="164" fontId="14" fillId="0" borderId="6" xfId="0" applyNumberFormat="1" applyFont="1" applyBorder="1" applyAlignment="1">
      <alignment horizontal="right" vertical="center" wrapText="1"/>
    </xf>
    <xf numFmtId="164" fontId="25" fillId="23" borderId="10" xfId="0" applyNumberFormat="1" applyFont="1" applyFill="1" applyBorder="1" applyAlignment="1">
      <alignment horizontal="right" vertical="center" wrapText="1"/>
    </xf>
    <xf numFmtId="164" fontId="25" fillId="23" borderId="5" xfId="0" applyNumberFormat="1" applyFont="1" applyFill="1" applyBorder="1" applyAlignment="1">
      <alignment horizontal="right" vertical="center" wrapText="1"/>
    </xf>
    <xf numFmtId="0" fontId="25" fillId="22" borderId="5" xfId="0" applyFont="1" applyFill="1" applyBorder="1" applyAlignment="1">
      <alignment horizontal="center" vertical="center" wrapText="1"/>
    </xf>
    <xf numFmtId="0" fontId="25" fillId="23" borderId="5" xfId="0" applyFont="1" applyFill="1" applyBorder="1" applyAlignment="1">
      <alignment horizontal="center" vertical="center" wrapText="1"/>
    </xf>
    <xf numFmtId="166" fontId="25" fillId="23" borderId="5" xfId="0" applyNumberFormat="1" applyFont="1" applyFill="1" applyBorder="1" applyAlignment="1">
      <alignment horizontal="center" vertical="center"/>
    </xf>
    <xf numFmtId="14" fontId="25" fillId="23" borderId="5" xfId="0" applyNumberFormat="1" applyFont="1" applyFill="1" applyBorder="1" applyAlignment="1">
      <alignment horizontal="center" vertical="center"/>
    </xf>
    <xf numFmtId="165" fontId="25" fillId="24" borderId="5" xfId="0" applyNumberFormat="1" applyFont="1" applyFill="1" applyBorder="1" applyAlignment="1">
      <alignment horizontal="right" vertical="center" wrapText="1"/>
    </xf>
    <xf numFmtId="165" fontId="25" fillId="24" borderId="8" xfId="0" applyNumberFormat="1" applyFont="1" applyFill="1" applyBorder="1" applyAlignment="1">
      <alignment horizontal="right" vertical="center" wrapText="1"/>
    </xf>
    <xf numFmtId="0" fontId="25" fillId="23" borderId="10" xfId="0" applyFont="1" applyFill="1" applyBorder="1" applyAlignment="1">
      <alignment horizontal="right" vertical="center" wrapText="1"/>
    </xf>
    <xf numFmtId="0" fontId="25" fillId="23" borderId="5" xfId="0" applyFont="1" applyFill="1" applyBorder="1" applyAlignment="1">
      <alignment horizontal="right" vertical="center" wrapText="1"/>
    </xf>
  </cellXfs>
  <cellStyles count="3">
    <cellStyle name="Collegamento ipertestuale 2" xfId="2" xr:uid="{BA5C6A39-A094-4D26-8A79-3792427429FE}"/>
    <cellStyle name="Normale" xfId="0" builtinId="0"/>
    <cellStyle name="Percentuale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729FC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A6"/>
      <rgbColor rgb="0099CCFF"/>
      <rgbColor rgb="00FF99CC"/>
      <rgbColor rgb="00CC99FF"/>
      <rgbColor rgb="00FFCC99"/>
      <rgbColor rgb="003366FF"/>
      <rgbColor rgb="0033CCCC"/>
      <rgbColor rgb="0099CC00"/>
      <rgbColor rgb="00FFBF00"/>
      <rgbColor rgb="00FF9900"/>
      <rgbColor rgb="00FF6600"/>
      <rgbColor rgb="00666699"/>
      <rgbColor rgb="00B2B2B2"/>
      <rgbColor rgb="00003366"/>
      <rgbColor rgb="00339966"/>
      <rgbColor rgb="00003300"/>
      <rgbColor rgb="00333300"/>
      <rgbColor rgb="00C9211E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A11CCEE-F85C-424A-89F9-E1282AC17C4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4442bb7-8936-4403-b4a1-80835272e4b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blia.it/in/96982-46178" TargetMode="External"/><Relationship Id="rId21" Type="http://schemas.openxmlformats.org/officeDocument/2006/relationships/hyperlink" Target="https://mapcarta.com/search?q=Stadio%20Mirabello%20Reggio%20Emilia" TargetMode="External"/><Relationship Id="rId34" Type="http://schemas.openxmlformats.org/officeDocument/2006/relationships/hyperlink" Target="https://www.italiamappe.it/stradario/reggio-nell%27emilia/" TargetMode="External"/><Relationship Id="rId42" Type="http://schemas.openxmlformats.org/officeDocument/2006/relationships/hyperlink" Target="https://censimentoarchitetturecontemporanee.cultura.gov.it/" TargetMode="External"/><Relationship Id="rId47" Type="http://schemas.openxmlformats.org/officeDocument/2006/relationships/hyperlink" Target="https://www.comune.reggioemilia.it/" TargetMode="External"/><Relationship Id="rId50" Type="http://schemas.openxmlformats.org/officeDocument/2006/relationships/hyperlink" Target="https://www.comune.reggioemilia.it/" TargetMode="External"/><Relationship Id="rId55" Type="http://schemas.openxmlformats.org/officeDocument/2006/relationships/hyperlink" Target="https://www.comune.reggioemilia.it/" TargetMode="External"/><Relationship Id="rId63" Type="http://schemas.openxmlformats.org/officeDocument/2006/relationships/hyperlink" Target="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" TargetMode="External"/><Relationship Id="rId7" Type="http://schemas.openxmlformats.org/officeDocument/2006/relationships/hyperlink" Target="https://www.comune.reggioemilia.it/argomenti/attuazione-misure-pnrr/missione-5/pnrr-m5c2-i2-1-riqualificazione-e-rigenerazione-urbana-del-quadrante-nord-est-del-centro-storico-di-reggio-2013-riqualificazione-degli-orti-di-santa-chiara-1" TargetMode="External"/><Relationship Id="rId2" Type="http://schemas.openxmlformats.org/officeDocument/2006/relationships/hyperlink" Target="https://www.openstreetmap.org/search?query=Piazzale%20Reverberi%20Reggio%20Emilia" TargetMode="External"/><Relationship Id="rId16" Type="http://schemas.openxmlformats.org/officeDocument/2006/relationships/hyperlink" Target="https://www.comune.reggioemilia.it/argomenti/istituzione-scuole-e-nidi-dinfanzia" TargetMode="External"/><Relationship Id="rId29" Type="http://schemas.openxmlformats.org/officeDocument/2006/relationships/hyperlink" Target="https://cultura.gov.it/luogo/palazzo-dei-musei-reggio-emilia" TargetMode="External"/><Relationship Id="rId11" Type="http://schemas.openxmlformats.org/officeDocument/2006/relationships/hyperlink" Target="https://www.comune.reggioemilia.it/argomenti/attuazione-misure-pnrr/progetti-stralciati-dal-pnrr/pnrr-m5c2-i2-1-riqualificazione-e-rigenerazione-urbana-del-quadrante-nord-est-del-centro-storico-di-reggio-2013-sottopasso-ciclopedonale-alla-ferrovia-storica-milano-bologna" TargetMode="External"/><Relationship Id="rId24" Type="http://schemas.openxmlformats.org/officeDocument/2006/relationships/hyperlink" Target="https://www.comune.reggioemilia.it/argomenti/mobilita" TargetMode="External"/><Relationship Id="rId32" Type="http://schemas.openxmlformats.org/officeDocument/2006/relationships/hyperlink" Target="https://www.reteimprese.it/" TargetMode="External"/><Relationship Id="rId37" Type="http://schemas.openxmlformats.org/officeDocument/2006/relationships/hyperlink" Target="https://www.mappepercorsi.it/genova-montecavolo-pianificatore-di-itinerario-google-google-map/" TargetMode="External"/><Relationship Id="rId40" Type="http://schemas.openxmlformats.org/officeDocument/2006/relationships/hyperlink" Target="https://www.comune.reggioemilia.it/" TargetMode="External"/><Relationship Id="rId45" Type="http://schemas.openxmlformats.org/officeDocument/2006/relationships/hyperlink" Target="https://www.comune.reggioemilia.it/" TargetMode="External"/><Relationship Id="rId53" Type="http://schemas.openxmlformats.org/officeDocument/2006/relationships/hyperlink" Target="https://www.comune.reggioemilia.it/" TargetMode="External"/><Relationship Id="rId58" Type="http://schemas.openxmlformats.org/officeDocument/2006/relationships/hyperlink" Target="https://www.comune.reggioemilia.it/" TargetMode="External"/><Relationship Id="rId5" Type="http://schemas.openxmlformats.org/officeDocument/2006/relationships/hyperlink" Target="https://distanzechilometriche.net/mappa/reggio-nell-emilia/via-don-giovanni-verita/" TargetMode="External"/><Relationship Id="rId61" Type="http://schemas.openxmlformats.org/officeDocument/2006/relationships/hyperlink" Target="https://www.reteimprese.it/" TargetMode="External"/><Relationship Id="rId19" Type="http://schemas.openxmlformats.org/officeDocument/2006/relationships/hyperlink" Target="https://www.comune.reggioemilia.it/argomenti/mobilita/progetti/reggio-emilia-citta-dei-sentieri/i-sentieri/anello-alex-langer/documenti-allegati/punti-di-interesse.pdf" TargetMode="External"/><Relationship Id="rId14" Type="http://schemas.openxmlformats.org/officeDocument/2006/relationships/hyperlink" Target="https://www.comune.reggioemilia.it/argomenti/istituzione-scuole-e-nidi-dinfanzia" TargetMode="External"/><Relationship Id="rId22" Type="http://schemas.openxmlformats.org/officeDocument/2006/relationships/hyperlink" Target="https://www.comune.reggioemilia.it/argomenti/mobilita" TargetMode="External"/><Relationship Id="rId27" Type="http://schemas.openxmlformats.org/officeDocument/2006/relationships/hyperlink" Target="https://www.italiamappe.it/stradario/reggio-nell%27emilia/via-john-fitzgerald-kennedy/" TargetMode="External"/><Relationship Id="rId30" Type="http://schemas.openxmlformats.org/officeDocument/2006/relationships/hyperlink" Target="https://www.italiamappe.it/stradario/reggio-nell%27emilia/" TargetMode="External"/><Relationship Id="rId35" Type="http://schemas.openxmlformats.org/officeDocument/2006/relationships/hyperlink" Target="https://www.mappepercorsi.it/genova-montecavolo-pianificatore-di-itinerario-google-google-map/" TargetMode="External"/><Relationship Id="rId43" Type="http://schemas.openxmlformats.org/officeDocument/2006/relationships/hyperlink" Target="https://www.comune.reggioemilia.it/" TargetMode="External"/><Relationship Id="rId48" Type="http://schemas.openxmlformats.org/officeDocument/2006/relationships/hyperlink" Target="https://www.comune.reggioemilia.it/" TargetMode="External"/><Relationship Id="rId56" Type="http://schemas.openxmlformats.org/officeDocument/2006/relationships/hyperlink" Target="https://www.comune.reggioemilia.it/" TargetMode="External"/><Relationship Id="rId64" Type="http://schemas.openxmlformats.org/officeDocument/2006/relationships/hyperlink" Target="https://www.blia.it/in/96982-46178" TargetMode="External"/><Relationship Id="rId8" Type="http://schemas.openxmlformats.org/officeDocument/2006/relationships/hyperlink" Target="https://www.italiamappe.it/stradario/reggio-nell%27emilia/" TargetMode="External"/><Relationship Id="rId51" Type="http://schemas.openxmlformats.org/officeDocument/2006/relationships/hyperlink" Target="https://www.comune.reggioemilia.it/" TargetMode="External"/><Relationship Id="rId3" Type="http://schemas.openxmlformats.org/officeDocument/2006/relationships/hyperlink" Target="https://mapcarta.com/search?q=Ponte%20del%20Gattaglio%20Reggio%20Emilia" TargetMode="External"/><Relationship Id="rId12" Type="http://schemas.openxmlformats.org/officeDocument/2006/relationships/hyperlink" Target="https://www.wikidata.org/wiki/Special:Search?search=Reggio%20Emilia%20San%20Lazzaro%20station" TargetMode="External"/><Relationship Id="rId17" Type="http://schemas.openxmlformats.org/officeDocument/2006/relationships/hyperlink" Target="https://www.comune.reggioemilia.it/argomenti/istituzione-scuole-e-nidi-dinfanzia/nidi-scuole/rivieri" TargetMode="External"/><Relationship Id="rId25" Type="http://schemas.openxmlformats.org/officeDocument/2006/relationships/hyperlink" Target="https://www.comune.reggioemilia.it/amministrazione/documenti-e-dati/avvisi-e-bandi/bandi-di-gara-e-contratti-profilo-di-committente/stazione-appaltante-comune-di-reggio-emilia/lavori/pnrr-m5c2-i1-2-realizzazione-di-abitazioni-immobile-sito-in-via-mazzini-6-e-via-brigata-reggio-cig" TargetMode="External"/><Relationship Id="rId33" Type="http://schemas.openxmlformats.org/officeDocument/2006/relationships/hyperlink" Target="https://www.blia.it/" TargetMode="External"/><Relationship Id="rId38" Type="http://schemas.openxmlformats.org/officeDocument/2006/relationships/hyperlink" Target="https://www.italiamappe.it/stradario/reggio-nell%27emilia/" TargetMode="External"/><Relationship Id="rId46" Type="http://schemas.openxmlformats.org/officeDocument/2006/relationships/hyperlink" Target="https://www.comune.reggioemilia.it/" TargetMode="External"/><Relationship Id="rId59" Type="http://schemas.openxmlformats.org/officeDocument/2006/relationships/hyperlink" Target="https://www.comune.reggioemilia.it/" TargetMode="External"/><Relationship Id="rId20" Type="http://schemas.openxmlformats.org/officeDocument/2006/relationships/hyperlink" Target="https://www.italiamappe.it/stradario/reggio-nell%27emilia/" TargetMode="External"/><Relationship Id="rId41" Type="http://schemas.openxmlformats.org/officeDocument/2006/relationships/hyperlink" Target="https://censimentoarchitetturecontemporanee.cultura.gov.it/" TargetMode="External"/><Relationship Id="rId54" Type="http://schemas.openxmlformats.org/officeDocument/2006/relationships/hyperlink" Target="https://www.comune.reggioemilia.it/" TargetMode="External"/><Relationship Id="rId62" Type="http://schemas.openxmlformats.org/officeDocument/2006/relationships/hyperlink" Target="https://www.distancesfrom.com/it/Piazzale-Europa-latitude-longitude-Piazzale-Europa-latitude-Piazzale-Europa-longitude/LatLongHistory/14034637.aspx" TargetMode="External"/><Relationship Id="rId1" Type="http://schemas.openxmlformats.org/officeDocument/2006/relationships/hyperlink" Target="https://www.zampaconnect.com/area-cani/reggio-emilia/parco_del_gelso_42124_reggio_nellemilia_re" TargetMode="External"/><Relationship Id="rId6" Type="http://schemas.openxmlformats.org/officeDocument/2006/relationships/hyperlink" Target="https://distanzechilometriche.net/mappa/reggio-nell-emilia/piazza-della-vittoria/" TargetMode="External"/><Relationship Id="rId15" Type="http://schemas.openxmlformats.org/officeDocument/2006/relationships/hyperlink" Target="https://www.comune.reggioemilia.it/argomenti/istituzione-scuole-e-nidi-dinfanzia/nidi-dinfanzia/nidi-comunali-e-convenzionati/peterpan" TargetMode="External"/><Relationship Id="rId23" Type="http://schemas.openxmlformats.org/officeDocument/2006/relationships/hyperlink" Target="https://www.italiamappe.it/stradario/reggio-nell%27emilia/" TargetMode="External"/><Relationship Id="rId28" Type="http://schemas.openxmlformats.org/officeDocument/2006/relationships/hyperlink" Target="https://cultura.gov.it/luogo/palazzo-dei-musei-reggio-emilia" TargetMode="External"/><Relationship Id="rId36" Type="http://schemas.openxmlformats.org/officeDocument/2006/relationships/hyperlink" Target="https://www.mappepercorsi.it/genova-montecavolo-pianificatore-di-itinerario-google-google-map/" TargetMode="External"/><Relationship Id="rId49" Type="http://schemas.openxmlformats.org/officeDocument/2006/relationships/hyperlink" Target="https://www.comune.reggioemilia.it/" TargetMode="External"/><Relationship Id="rId57" Type="http://schemas.openxmlformats.org/officeDocument/2006/relationships/hyperlink" Target="https://www.comune.reggioemilia.it/" TargetMode="External"/><Relationship Id="rId10" Type="http://schemas.openxmlformats.org/officeDocument/2006/relationships/hyperlink" Target="https://www.comune.reggioemilia.it/argomenti/attuazione-misure-pnrr" TargetMode="External"/><Relationship Id="rId31" Type="http://schemas.openxmlformats.org/officeDocument/2006/relationships/hyperlink" Target="https://www.provincia.re.it/" TargetMode="External"/><Relationship Id="rId44" Type="http://schemas.openxmlformats.org/officeDocument/2006/relationships/hyperlink" Target="https://www.comune.reggioemilia.it/" TargetMode="External"/><Relationship Id="rId52" Type="http://schemas.openxmlformats.org/officeDocument/2006/relationships/hyperlink" Target="https://www.comune.reggioemilia.it/" TargetMode="External"/><Relationship Id="rId60" Type="http://schemas.openxmlformats.org/officeDocument/2006/relationships/hyperlink" Target="https://www.comune.reggioemilia.it/" TargetMode="External"/><Relationship Id="rId65" Type="http://schemas.openxmlformats.org/officeDocument/2006/relationships/hyperlink" Target="https://www.italiamappe.it/stradario/reggio-nell%27emilia/via-john-fitzgerald-kennedy/" TargetMode="External"/><Relationship Id="rId4" Type="http://schemas.openxmlformats.org/officeDocument/2006/relationships/hyperlink" Target="https://mapcarta.com/18708310" TargetMode="External"/><Relationship Id="rId9" Type="http://schemas.openxmlformats.org/officeDocument/2006/relationships/hyperlink" Target="https://www.italiamappe.it/stradario/reggio-nell%27emilia/" TargetMode="External"/><Relationship Id="rId13" Type="http://schemas.openxmlformats.org/officeDocument/2006/relationships/hyperlink" Target="https://www.italiamappe.it/stradario/reggio-nell%27emilia/" TargetMode="External"/><Relationship Id="rId18" Type="http://schemas.openxmlformats.org/officeDocument/2006/relationships/hyperlink" Target="https://censimentoarchitetturecontemporanee.cultura.gov.it/scheda-opera?id=4862" TargetMode="External"/><Relationship Id="rId39" Type="http://schemas.openxmlformats.org/officeDocument/2006/relationships/hyperlink" Target="https://www.slideshare.net/slideshow/cre02-presentazione-sia-rp-rev-b/401945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38D89-D542-491B-8E19-645AAA6DAC4B}">
  <dimension ref="A1:AMX65526"/>
  <sheetViews>
    <sheetView tabSelected="1" zoomScale="55" zoomScaleNormal="55" workbookViewId="0">
      <pane ySplit="1" topLeftCell="A105" activePane="bottomLeft" state="frozen"/>
      <selection pane="bottomLeft" activeCell="W72" sqref="W72"/>
    </sheetView>
  </sheetViews>
  <sheetFormatPr defaultColWidth="11.42578125" defaultRowHeight="14.65" customHeight="1" outlineLevelCol="1" x14ac:dyDescent="0.2"/>
  <cols>
    <col min="1" max="1" width="12.140625" style="1" customWidth="1"/>
    <col min="2" max="2" width="24.7109375" customWidth="1"/>
    <col min="3" max="3" width="66.7109375" customWidth="1"/>
    <col min="4" max="4" width="18.42578125" customWidth="1"/>
    <col min="5" max="5" width="18.42578125" hidden="1" customWidth="1" outlineLevel="1"/>
    <col min="6" max="6" width="28.85546875" customWidth="1" collapsed="1"/>
    <col min="7" max="7" width="45.5703125" customWidth="1"/>
    <col min="8" max="8" width="28.85546875" customWidth="1"/>
    <col min="9" max="9" width="80.140625" style="2" bestFit="1" customWidth="1"/>
    <col min="10" max="10" width="20" bestFit="1" customWidth="1"/>
    <col min="11" max="11" width="22" bestFit="1" customWidth="1"/>
    <col min="12" max="13" width="19" style="179" customWidth="1"/>
    <col min="14" max="14" width="27.140625" bestFit="1" customWidth="1"/>
    <col min="15" max="15" width="20.7109375" customWidth="1"/>
    <col min="16" max="16" width="33" customWidth="1"/>
    <col min="17" max="17" width="19.28515625" customWidth="1"/>
    <col min="18" max="18" width="25.42578125" hidden="1" customWidth="1" outlineLevel="1"/>
    <col min="19" max="20" width="18.42578125" hidden="1" customWidth="1" outlineLevel="1"/>
    <col min="21" max="21" width="21" hidden="1" customWidth="1" outlineLevel="1"/>
    <col min="22" max="22" width="11.42578125" collapsed="1"/>
  </cols>
  <sheetData>
    <row r="1" spans="1:21" ht="30" customHeight="1" x14ac:dyDescent="0.2">
      <c r="A1" s="15" t="s">
        <v>328</v>
      </c>
      <c r="B1" s="15" t="s">
        <v>315</v>
      </c>
      <c r="C1" s="15" t="s">
        <v>0</v>
      </c>
      <c r="D1" s="15" t="s">
        <v>1</v>
      </c>
      <c r="E1" s="15" t="s">
        <v>2</v>
      </c>
      <c r="F1" s="15" t="s">
        <v>2</v>
      </c>
      <c r="G1" s="15" t="s">
        <v>327</v>
      </c>
      <c r="H1" s="15" t="s">
        <v>329</v>
      </c>
      <c r="I1" s="15" t="s">
        <v>3</v>
      </c>
      <c r="J1" s="15" t="s">
        <v>325</v>
      </c>
      <c r="K1" s="15" t="s">
        <v>326</v>
      </c>
      <c r="L1" s="15" t="s">
        <v>524</v>
      </c>
      <c r="M1" s="15" t="s">
        <v>525</v>
      </c>
      <c r="N1" s="15" t="s">
        <v>4</v>
      </c>
      <c r="O1" s="15" t="s">
        <v>5</v>
      </c>
      <c r="P1" s="15" t="s">
        <v>6</v>
      </c>
      <c r="Q1" s="15" t="s">
        <v>7</v>
      </c>
      <c r="R1" s="15" t="s">
        <v>8</v>
      </c>
      <c r="S1" s="15" t="s">
        <v>9</v>
      </c>
      <c r="T1" s="15" t="s">
        <v>10</v>
      </c>
      <c r="U1" s="15" t="s">
        <v>11</v>
      </c>
    </row>
    <row r="2" spans="1:21" ht="12.75" customHeight="1" x14ac:dyDescent="0.4">
      <c r="A2" s="16"/>
      <c r="B2" s="17" t="s">
        <v>12</v>
      </c>
      <c r="C2" s="17"/>
      <c r="D2" s="17"/>
      <c r="E2" s="17"/>
      <c r="F2" s="17"/>
      <c r="G2" s="17"/>
      <c r="H2" s="17"/>
      <c r="I2" s="17"/>
      <c r="J2" s="17"/>
      <c r="K2" s="17"/>
      <c r="L2" s="182"/>
      <c r="M2" s="182"/>
      <c r="N2" s="17"/>
      <c r="O2" s="17"/>
      <c r="P2" s="17"/>
      <c r="Q2" s="17"/>
      <c r="R2" s="17"/>
      <c r="S2" s="17"/>
      <c r="T2" s="17"/>
      <c r="U2" s="17"/>
    </row>
    <row r="3" spans="1:21" ht="34.5" x14ac:dyDescent="0.4">
      <c r="A3" s="18">
        <v>1</v>
      </c>
      <c r="B3" s="19" t="s">
        <v>316</v>
      </c>
      <c r="C3" s="20" t="s">
        <v>13</v>
      </c>
      <c r="D3" s="21" t="s">
        <v>14</v>
      </c>
      <c r="E3" s="21" t="s">
        <v>15</v>
      </c>
      <c r="F3" s="21" t="s">
        <v>15</v>
      </c>
      <c r="G3" s="68">
        <v>100</v>
      </c>
      <c r="H3" s="69">
        <v>46203</v>
      </c>
      <c r="I3" s="22" t="s">
        <v>16</v>
      </c>
      <c r="J3" s="23">
        <v>44.704287999999998</v>
      </c>
      <c r="K3" s="183">
        <v>10.6244</v>
      </c>
      <c r="L3" s="23"/>
      <c r="M3" s="23"/>
      <c r="N3" s="65">
        <v>1600000</v>
      </c>
      <c r="O3" s="24">
        <f t="shared" ref="O3:O17" si="0">N3-P3-Q3</f>
        <v>440000</v>
      </c>
      <c r="P3" s="24">
        <v>1160000</v>
      </c>
      <c r="Q3" s="24">
        <v>0</v>
      </c>
      <c r="R3" s="24">
        <v>1600000</v>
      </c>
      <c r="S3" s="24">
        <f>N3-R3</f>
        <v>0</v>
      </c>
      <c r="T3" s="24">
        <v>1256598.07</v>
      </c>
      <c r="U3" s="24">
        <v>904487.69</v>
      </c>
    </row>
    <row r="4" spans="1:21" ht="51.75" x14ac:dyDescent="0.4">
      <c r="A4" s="18">
        <v>2</v>
      </c>
      <c r="B4" s="19" t="s">
        <v>316</v>
      </c>
      <c r="C4" s="20" t="s">
        <v>17</v>
      </c>
      <c r="D4" s="21" t="s">
        <v>18</v>
      </c>
      <c r="E4" s="21" t="s">
        <v>19</v>
      </c>
      <c r="F4" s="21" t="s">
        <v>19</v>
      </c>
      <c r="G4" s="68">
        <v>100</v>
      </c>
      <c r="H4" s="69">
        <v>46203</v>
      </c>
      <c r="I4" s="22" t="s">
        <v>20</v>
      </c>
      <c r="J4" s="23">
        <v>44.700271999999998</v>
      </c>
      <c r="K4" s="183">
        <v>10.6332</v>
      </c>
      <c r="L4" s="23"/>
      <c r="M4" s="23"/>
      <c r="N4" s="65">
        <v>300000</v>
      </c>
      <c r="O4" s="24">
        <f t="shared" si="0"/>
        <v>10000</v>
      </c>
      <c r="P4" s="24">
        <v>290000</v>
      </c>
      <c r="Q4" s="24">
        <v>0</v>
      </c>
      <c r="R4" s="24">
        <v>258422.09</v>
      </c>
      <c r="S4" s="25">
        <v>41577.910000000003</v>
      </c>
      <c r="T4" s="24">
        <v>253925.38</v>
      </c>
      <c r="U4" s="24">
        <v>245461.21</v>
      </c>
    </row>
    <row r="5" spans="1:21" ht="51.75" x14ac:dyDescent="0.4">
      <c r="A5" s="18">
        <v>3</v>
      </c>
      <c r="B5" s="19" t="s">
        <v>316</v>
      </c>
      <c r="C5" s="20" t="s">
        <v>21</v>
      </c>
      <c r="D5" s="21" t="s">
        <v>22</v>
      </c>
      <c r="E5" s="21" t="s">
        <v>23</v>
      </c>
      <c r="F5" s="21" t="s">
        <v>15</v>
      </c>
      <c r="G5" s="68">
        <v>100</v>
      </c>
      <c r="H5" s="69">
        <v>46203</v>
      </c>
      <c r="I5" s="22" t="s">
        <v>24</v>
      </c>
      <c r="J5" s="23">
        <v>44.698425100000001</v>
      </c>
      <c r="K5" s="183">
        <v>10.606671800000001</v>
      </c>
      <c r="L5" s="23"/>
      <c r="M5" s="23"/>
      <c r="N5" s="65">
        <v>950000</v>
      </c>
      <c r="O5" s="24">
        <f t="shared" si="0"/>
        <v>30000</v>
      </c>
      <c r="P5" s="24">
        <v>920000</v>
      </c>
      <c r="Q5" s="24">
        <v>0</v>
      </c>
      <c r="R5" s="24">
        <v>950000</v>
      </c>
      <c r="S5" s="24">
        <v>0</v>
      </c>
      <c r="T5" s="24">
        <v>939302.35</v>
      </c>
      <c r="U5" s="24">
        <v>909375.75</v>
      </c>
    </row>
    <row r="6" spans="1:21" ht="51.75" x14ac:dyDescent="0.4">
      <c r="A6" s="18">
        <v>4</v>
      </c>
      <c r="B6" s="19" t="s">
        <v>316</v>
      </c>
      <c r="C6" s="20" t="s">
        <v>25</v>
      </c>
      <c r="D6" s="21" t="s">
        <v>26</v>
      </c>
      <c r="E6" s="21" t="s">
        <v>19</v>
      </c>
      <c r="F6" s="21" t="s">
        <v>19</v>
      </c>
      <c r="G6" s="68">
        <v>100</v>
      </c>
      <c r="H6" s="69">
        <v>46203</v>
      </c>
      <c r="I6" s="22" t="s">
        <v>20</v>
      </c>
      <c r="J6" s="23">
        <v>44.700271999999998</v>
      </c>
      <c r="K6" s="183">
        <v>10.6332</v>
      </c>
      <c r="L6" s="23"/>
      <c r="M6" s="23"/>
      <c r="N6" s="65">
        <v>350000</v>
      </c>
      <c r="O6" s="24">
        <f t="shared" si="0"/>
        <v>0</v>
      </c>
      <c r="P6" s="24">
        <v>350000</v>
      </c>
      <c r="Q6" s="24">
        <v>0</v>
      </c>
      <c r="R6" s="24">
        <v>270205.03000000003</v>
      </c>
      <c r="S6" s="25">
        <f>N6-R6</f>
        <v>79794.969999999972</v>
      </c>
      <c r="T6" s="24">
        <v>265367.53999999998</v>
      </c>
      <c r="U6" s="24">
        <v>265367.53999999998</v>
      </c>
    </row>
    <row r="7" spans="1:21" ht="48.2" customHeight="1" x14ac:dyDescent="0.4">
      <c r="A7" s="18">
        <v>5</v>
      </c>
      <c r="B7" s="26" t="s">
        <v>317</v>
      </c>
      <c r="C7" s="20" t="s">
        <v>27</v>
      </c>
      <c r="D7" s="21" t="s">
        <v>28</v>
      </c>
      <c r="E7" s="21" t="s">
        <v>29</v>
      </c>
      <c r="F7" s="21" t="s">
        <v>29</v>
      </c>
      <c r="G7" s="68">
        <v>100</v>
      </c>
      <c r="H7" s="69">
        <v>46203</v>
      </c>
      <c r="I7" s="27" t="s">
        <v>30</v>
      </c>
      <c r="J7" s="23">
        <v>44.698399999999999</v>
      </c>
      <c r="K7" s="183">
        <v>10.6098</v>
      </c>
      <c r="L7" s="23"/>
      <c r="M7" s="23"/>
      <c r="N7" s="65">
        <v>200000</v>
      </c>
      <c r="O7" s="24">
        <f t="shared" si="0"/>
        <v>10000</v>
      </c>
      <c r="P7" s="24">
        <v>190000</v>
      </c>
      <c r="Q7" s="24">
        <v>0</v>
      </c>
      <c r="R7" s="24">
        <v>195382.98</v>
      </c>
      <c r="S7" s="24">
        <v>4617.03</v>
      </c>
      <c r="T7" s="24">
        <v>195382.97</v>
      </c>
      <c r="U7" s="25">
        <v>188748.18</v>
      </c>
    </row>
    <row r="8" spans="1:21" ht="29.85" customHeight="1" x14ac:dyDescent="0.4">
      <c r="A8" s="18">
        <v>6</v>
      </c>
      <c r="B8" s="28" t="s">
        <v>317</v>
      </c>
      <c r="C8" s="20" t="s">
        <v>31</v>
      </c>
      <c r="D8" s="21" t="s">
        <v>32</v>
      </c>
      <c r="E8" s="21" t="s">
        <v>33</v>
      </c>
      <c r="F8" s="21" t="s">
        <v>33</v>
      </c>
      <c r="G8" s="68">
        <v>100</v>
      </c>
      <c r="H8" s="69">
        <v>46203</v>
      </c>
      <c r="I8" s="22" t="s">
        <v>34</v>
      </c>
      <c r="J8" s="23">
        <v>44.705928999999998</v>
      </c>
      <c r="K8" s="183">
        <v>10.632</v>
      </c>
      <c r="L8" s="23"/>
      <c r="M8" s="23"/>
      <c r="N8" s="65">
        <v>200000</v>
      </c>
      <c r="O8" s="24">
        <f t="shared" si="0"/>
        <v>20000</v>
      </c>
      <c r="P8" s="24">
        <v>180000</v>
      </c>
      <c r="Q8" s="24">
        <v>0</v>
      </c>
      <c r="R8" s="24">
        <v>188963.71</v>
      </c>
      <c r="S8" s="24">
        <v>11036.29</v>
      </c>
      <c r="T8" s="24">
        <v>188963.71</v>
      </c>
      <c r="U8" s="24">
        <v>176707.73</v>
      </c>
    </row>
    <row r="9" spans="1:21" ht="22.9" customHeight="1" x14ac:dyDescent="0.4">
      <c r="A9" s="18">
        <v>7</v>
      </c>
      <c r="B9" s="19" t="s">
        <v>316</v>
      </c>
      <c r="C9" s="20" t="s">
        <v>35</v>
      </c>
      <c r="D9" s="21" t="s">
        <v>36</v>
      </c>
      <c r="E9" s="21" t="s">
        <v>37</v>
      </c>
      <c r="F9" s="21" t="s">
        <v>37</v>
      </c>
      <c r="G9" s="68">
        <v>100</v>
      </c>
      <c r="H9" s="69">
        <v>46203</v>
      </c>
      <c r="I9" s="22" t="s">
        <v>38</v>
      </c>
      <c r="J9" s="23">
        <v>44.701500000000003</v>
      </c>
      <c r="K9" s="183">
        <v>10.634600000000001</v>
      </c>
      <c r="L9" s="23"/>
      <c r="M9" s="23"/>
      <c r="N9" s="65">
        <v>600000</v>
      </c>
      <c r="O9" s="24">
        <f t="shared" si="0"/>
        <v>100000</v>
      </c>
      <c r="P9" s="24">
        <v>500000</v>
      </c>
      <c r="Q9" s="24">
        <v>0</v>
      </c>
      <c r="R9" s="24">
        <v>594856.36</v>
      </c>
      <c r="S9" s="24">
        <f t="shared" ref="S9:S10" si="1">N9-R9</f>
        <v>5143.640000000014</v>
      </c>
      <c r="T9" s="24">
        <v>574269.06000000006</v>
      </c>
      <c r="U9" s="24">
        <v>478235.78</v>
      </c>
    </row>
    <row r="10" spans="1:21" ht="28.9" customHeight="1" x14ac:dyDescent="0.4">
      <c r="A10" s="18">
        <v>8</v>
      </c>
      <c r="B10" s="29" t="s">
        <v>318</v>
      </c>
      <c r="C10" s="20" t="s">
        <v>39</v>
      </c>
      <c r="D10" s="21" t="s">
        <v>40</v>
      </c>
      <c r="E10" s="21" t="s">
        <v>41</v>
      </c>
      <c r="F10" s="21" t="s">
        <v>41</v>
      </c>
      <c r="G10" s="68">
        <v>100</v>
      </c>
      <c r="H10" s="69">
        <v>46203</v>
      </c>
      <c r="I10" s="22" t="s">
        <v>42</v>
      </c>
      <c r="J10" s="23">
        <v>44.692202999999999</v>
      </c>
      <c r="K10" s="183">
        <v>10.642396</v>
      </c>
      <c r="L10" s="23"/>
      <c r="M10" s="23"/>
      <c r="N10" s="65">
        <v>1805000</v>
      </c>
      <c r="O10" s="24">
        <f t="shared" si="0"/>
        <v>905000</v>
      </c>
      <c r="P10" s="24">
        <v>900000</v>
      </c>
      <c r="Q10" s="24">
        <v>0</v>
      </c>
      <c r="R10" s="24">
        <v>1805000</v>
      </c>
      <c r="S10" s="24">
        <f t="shared" si="1"/>
        <v>0</v>
      </c>
      <c r="T10" s="24">
        <v>1519592.33</v>
      </c>
      <c r="U10" s="24">
        <v>768227.19</v>
      </c>
    </row>
    <row r="11" spans="1:21" ht="42.95" customHeight="1" x14ac:dyDescent="0.4">
      <c r="A11" s="18">
        <v>9</v>
      </c>
      <c r="B11" s="29" t="s">
        <v>318</v>
      </c>
      <c r="C11" s="20" t="s">
        <v>43</v>
      </c>
      <c r="D11" s="21" t="s">
        <v>44</v>
      </c>
      <c r="E11" s="21" t="s">
        <v>45</v>
      </c>
      <c r="F11" s="21" t="s">
        <v>45</v>
      </c>
      <c r="G11" s="68">
        <v>100</v>
      </c>
      <c r="H11" s="69">
        <v>46203</v>
      </c>
      <c r="I11" s="22" t="s">
        <v>46</v>
      </c>
      <c r="J11" s="23">
        <v>44.695050000000002</v>
      </c>
      <c r="K11" s="183">
        <v>10.61947</v>
      </c>
      <c r="L11" s="23"/>
      <c r="M11" s="23"/>
      <c r="N11" s="65">
        <v>1192000</v>
      </c>
      <c r="O11" s="24">
        <f t="shared" si="0"/>
        <v>246000</v>
      </c>
      <c r="P11" s="24">
        <v>860000</v>
      </c>
      <c r="Q11" s="24">
        <v>86000</v>
      </c>
      <c r="R11" s="24">
        <v>1192000</v>
      </c>
      <c r="S11" s="24">
        <v>0</v>
      </c>
      <c r="T11" s="24">
        <v>1192000</v>
      </c>
      <c r="U11" s="24">
        <v>946000</v>
      </c>
    </row>
    <row r="12" spans="1:21" ht="85.15" customHeight="1" x14ac:dyDescent="0.4">
      <c r="A12" s="85">
        <v>10</v>
      </c>
      <c r="B12" s="29" t="s">
        <v>318</v>
      </c>
      <c r="C12" s="20" t="s">
        <v>336</v>
      </c>
      <c r="D12" s="79" t="s">
        <v>48</v>
      </c>
      <c r="E12" s="79" t="s">
        <v>37</v>
      </c>
      <c r="F12" s="79" t="s">
        <v>37</v>
      </c>
      <c r="G12" s="80">
        <v>100</v>
      </c>
      <c r="H12" s="81">
        <v>46203</v>
      </c>
      <c r="I12" s="82" t="s">
        <v>49</v>
      </c>
      <c r="J12" s="83">
        <v>44.735999999999997</v>
      </c>
      <c r="K12" s="184">
        <v>10.5261</v>
      </c>
      <c r="L12" s="83">
        <v>44.721715600000003</v>
      </c>
      <c r="M12" s="83">
        <v>10.533796600000001</v>
      </c>
      <c r="N12" s="200">
        <v>2640000</v>
      </c>
      <c r="O12" s="84">
        <f t="shared" si="0"/>
        <v>0</v>
      </c>
      <c r="P12" s="84">
        <v>2400000</v>
      </c>
      <c r="Q12" s="84">
        <v>240000</v>
      </c>
      <c r="R12" s="30">
        <v>2640000</v>
      </c>
      <c r="S12" s="30">
        <v>0</v>
      </c>
      <c r="T12" s="30">
        <v>2618157.59</v>
      </c>
      <c r="U12" s="30">
        <v>2618157.59</v>
      </c>
    </row>
    <row r="13" spans="1:21" ht="30.6" customHeight="1" x14ac:dyDescent="0.4">
      <c r="A13" s="85">
        <v>11</v>
      </c>
      <c r="B13" s="29" t="s">
        <v>318</v>
      </c>
      <c r="C13" s="20" t="s">
        <v>50</v>
      </c>
      <c r="D13" s="79" t="s">
        <v>51</v>
      </c>
      <c r="E13" s="79" t="s">
        <v>37</v>
      </c>
      <c r="F13" s="79" t="s">
        <v>37</v>
      </c>
      <c r="G13" s="80">
        <v>100</v>
      </c>
      <c r="H13" s="81">
        <v>46203</v>
      </c>
      <c r="I13" s="82" t="s">
        <v>52</v>
      </c>
      <c r="J13" s="83">
        <v>44.714300000000001</v>
      </c>
      <c r="K13" s="184">
        <v>10.6105</v>
      </c>
      <c r="L13" s="83"/>
      <c r="M13" s="83"/>
      <c r="N13" s="200">
        <v>850000</v>
      </c>
      <c r="O13" s="84">
        <f t="shared" si="0"/>
        <v>0</v>
      </c>
      <c r="P13" s="84">
        <v>850000</v>
      </c>
      <c r="Q13" s="84">
        <v>0</v>
      </c>
      <c r="R13" s="30">
        <v>850000</v>
      </c>
      <c r="S13" s="31">
        <v>0</v>
      </c>
      <c r="T13" s="31">
        <v>830181.43</v>
      </c>
      <c r="U13" s="30">
        <v>830181.43</v>
      </c>
    </row>
    <row r="14" spans="1:21" ht="47.45" customHeight="1" x14ac:dyDescent="0.4">
      <c r="A14" s="85">
        <v>12</v>
      </c>
      <c r="B14" s="19" t="s">
        <v>316</v>
      </c>
      <c r="C14" s="20" t="s">
        <v>53</v>
      </c>
      <c r="D14" s="21" t="s">
        <v>54</v>
      </c>
      <c r="E14" s="21" t="s">
        <v>37</v>
      </c>
      <c r="F14" s="21" t="s">
        <v>37</v>
      </c>
      <c r="G14" s="68">
        <v>100</v>
      </c>
      <c r="H14" s="69">
        <v>46203</v>
      </c>
      <c r="I14" s="22" t="s">
        <v>55</v>
      </c>
      <c r="J14" s="23">
        <v>44.699109999999997</v>
      </c>
      <c r="K14" s="183">
        <v>10.63659</v>
      </c>
      <c r="L14" s="23"/>
      <c r="M14" s="23"/>
      <c r="N14" s="65">
        <v>30000</v>
      </c>
      <c r="O14" s="24">
        <f t="shared" si="0"/>
        <v>0</v>
      </c>
      <c r="P14" s="24">
        <v>30000</v>
      </c>
      <c r="Q14" s="24">
        <v>0</v>
      </c>
      <c r="R14" s="25">
        <v>29970.54</v>
      </c>
      <c r="S14" s="24">
        <f>N14-R14</f>
        <v>29.459999999999127</v>
      </c>
      <c r="T14" s="24">
        <v>28565.51</v>
      </c>
      <c r="U14" s="24">
        <v>28565.51</v>
      </c>
    </row>
    <row r="15" spans="1:21" ht="38.25" customHeight="1" x14ac:dyDescent="0.4">
      <c r="A15" s="85">
        <v>13</v>
      </c>
      <c r="B15" s="28" t="s">
        <v>317</v>
      </c>
      <c r="C15" s="216" t="s">
        <v>56</v>
      </c>
      <c r="D15" s="217" t="s">
        <v>57</v>
      </c>
      <c r="E15" s="217" t="s">
        <v>37</v>
      </c>
      <c r="F15" s="217" t="s">
        <v>37</v>
      </c>
      <c r="G15" s="218" t="s">
        <v>58</v>
      </c>
      <c r="H15" s="219" t="s">
        <v>58</v>
      </c>
      <c r="I15" s="217"/>
      <c r="J15" s="220"/>
      <c r="K15" s="221"/>
      <c r="L15" s="220"/>
      <c r="M15" s="220"/>
      <c r="N15" s="214">
        <v>80000</v>
      </c>
      <c r="O15" s="215">
        <f t="shared" si="0"/>
        <v>10000</v>
      </c>
      <c r="P15" s="215">
        <v>70000</v>
      </c>
      <c r="Q15" s="215">
        <v>0</v>
      </c>
      <c r="R15" s="32"/>
      <c r="S15" s="32"/>
      <c r="T15" s="32">
        <v>0</v>
      </c>
      <c r="U15" s="32">
        <v>0</v>
      </c>
    </row>
    <row r="16" spans="1:21" ht="23.85" customHeight="1" x14ac:dyDescent="0.4">
      <c r="A16" s="85">
        <v>14</v>
      </c>
      <c r="B16" s="33" t="s">
        <v>319</v>
      </c>
      <c r="C16" s="20" t="s">
        <v>59</v>
      </c>
      <c r="D16" s="21" t="s">
        <v>60</v>
      </c>
      <c r="E16" s="21" t="s">
        <v>45</v>
      </c>
      <c r="F16" s="21" t="s">
        <v>45</v>
      </c>
      <c r="G16" s="68">
        <v>100</v>
      </c>
      <c r="H16" s="69">
        <v>46203</v>
      </c>
      <c r="I16" s="22" t="s">
        <v>61</v>
      </c>
      <c r="J16" s="23">
        <v>44.681100000000001</v>
      </c>
      <c r="K16" s="183">
        <v>10.6052</v>
      </c>
      <c r="L16" s="23"/>
      <c r="M16" s="23"/>
      <c r="N16" s="65">
        <v>110000</v>
      </c>
      <c r="O16" s="24">
        <f t="shared" si="0"/>
        <v>0</v>
      </c>
      <c r="P16" s="24">
        <v>100000</v>
      </c>
      <c r="Q16" s="24">
        <v>10000</v>
      </c>
      <c r="R16" s="24">
        <v>110000</v>
      </c>
      <c r="S16" s="24">
        <v>0</v>
      </c>
      <c r="T16" s="24">
        <v>107185.21</v>
      </c>
      <c r="U16" s="24">
        <v>107185.21</v>
      </c>
    </row>
    <row r="17" spans="1:21" ht="37.35" customHeight="1" x14ac:dyDescent="0.4">
      <c r="A17" s="18"/>
      <c r="B17" s="34" t="s">
        <v>62</v>
      </c>
      <c r="C17" s="34"/>
      <c r="D17" s="34"/>
      <c r="E17" s="34"/>
      <c r="F17" s="34"/>
      <c r="G17" s="68"/>
      <c r="H17" s="70"/>
      <c r="I17" s="34"/>
      <c r="J17" s="35">
        <v>44.701500000000003</v>
      </c>
      <c r="K17" s="185">
        <v>10.634600000000001</v>
      </c>
      <c r="L17" s="118">
        <v>44.706470000000003</v>
      </c>
      <c r="M17" s="118">
        <v>10.638719999999999</v>
      </c>
      <c r="N17" s="201">
        <f>SUM(N3:N16)</f>
        <v>10907000</v>
      </c>
      <c r="O17" s="168">
        <f t="shared" si="0"/>
        <v>1771000</v>
      </c>
      <c r="P17" s="168">
        <f>SUM(P3:P16)</f>
        <v>8800000</v>
      </c>
      <c r="Q17" s="168">
        <f>SUM(Q3:Q16)</f>
        <v>336000</v>
      </c>
      <c r="R17" s="37"/>
      <c r="S17" s="37"/>
      <c r="T17" s="37">
        <f>SUM(T3:T16)</f>
        <v>9969491.1500000004</v>
      </c>
      <c r="U17" s="37">
        <f>SUM(U3:U16)</f>
        <v>8466700.8100000005</v>
      </c>
    </row>
    <row r="18" spans="1:21" ht="23.45" customHeight="1" x14ac:dyDescent="0.4">
      <c r="A18" s="18"/>
      <c r="B18" s="17" t="s">
        <v>63</v>
      </c>
      <c r="C18" s="17"/>
      <c r="D18" s="17"/>
      <c r="E18" s="17"/>
      <c r="F18" s="17"/>
      <c r="G18" s="71"/>
      <c r="H18" s="72"/>
      <c r="I18" s="17"/>
      <c r="J18" s="39"/>
      <c r="K18" s="186"/>
      <c r="L18" s="38"/>
      <c r="M18" s="38"/>
      <c r="N18" s="202"/>
      <c r="O18" s="39"/>
      <c r="P18" s="39"/>
      <c r="Q18" s="39"/>
      <c r="R18" s="39"/>
      <c r="S18" s="39"/>
      <c r="T18" s="39"/>
      <c r="U18" s="39"/>
    </row>
    <row r="19" spans="1:21" ht="36.950000000000003" customHeight="1" x14ac:dyDescent="0.4">
      <c r="A19" s="18">
        <v>15</v>
      </c>
      <c r="B19" s="19" t="s">
        <v>316</v>
      </c>
      <c r="C19" s="20" t="s">
        <v>64</v>
      </c>
      <c r="D19" s="21" t="s">
        <v>65</v>
      </c>
      <c r="E19" s="21" t="s">
        <v>66</v>
      </c>
      <c r="F19" s="21" t="s">
        <v>66</v>
      </c>
      <c r="G19" s="68">
        <v>100</v>
      </c>
      <c r="H19" s="70" t="s">
        <v>68</v>
      </c>
      <c r="I19" s="22" t="s">
        <v>67</v>
      </c>
      <c r="J19" s="23">
        <v>44.686399999999999</v>
      </c>
      <c r="K19" s="183">
        <v>10.6144</v>
      </c>
      <c r="L19" s="23"/>
      <c r="M19" s="23"/>
      <c r="N19" s="66">
        <v>258994.24</v>
      </c>
      <c r="O19" s="24">
        <f t="shared" ref="O19:O23" si="2">N19-P19-Q19</f>
        <v>68994.239999999991</v>
      </c>
      <c r="P19" s="24">
        <v>190000</v>
      </c>
      <c r="Q19" s="24">
        <v>0</v>
      </c>
      <c r="R19" s="24">
        <v>214988.48</v>
      </c>
      <c r="S19" s="40">
        <v>4005.76</v>
      </c>
      <c r="T19" s="24">
        <v>121554.46</v>
      </c>
      <c r="U19" s="24">
        <v>117650.46</v>
      </c>
    </row>
    <row r="20" spans="1:21" ht="54.4" customHeight="1" x14ac:dyDescent="0.4">
      <c r="A20" s="18">
        <v>16</v>
      </c>
      <c r="B20" s="29" t="s">
        <v>318</v>
      </c>
      <c r="C20" s="20" t="s">
        <v>69</v>
      </c>
      <c r="D20" s="21" t="s">
        <v>70</v>
      </c>
      <c r="E20" s="21" t="s">
        <v>71</v>
      </c>
      <c r="F20" s="21" t="s">
        <v>71</v>
      </c>
      <c r="G20" s="68"/>
      <c r="H20" s="70" t="s">
        <v>68</v>
      </c>
      <c r="I20" s="22" t="s">
        <v>72</v>
      </c>
      <c r="J20" s="23">
        <v>44.688800000000001</v>
      </c>
      <c r="K20" s="183">
        <v>10.651199999999999</v>
      </c>
      <c r="L20" s="23"/>
      <c r="M20" s="23"/>
      <c r="N20" s="66">
        <v>1790000</v>
      </c>
      <c r="O20" s="24">
        <f t="shared" si="2"/>
        <v>740000</v>
      </c>
      <c r="P20" s="24">
        <v>1050000</v>
      </c>
      <c r="Q20" s="24">
        <v>0</v>
      </c>
      <c r="R20" s="24">
        <v>276485.44</v>
      </c>
      <c r="S20" s="24" t="s">
        <v>73</v>
      </c>
      <c r="T20" s="24">
        <v>165897.97</v>
      </c>
      <c r="U20" s="24">
        <v>70996.639999999999</v>
      </c>
    </row>
    <row r="21" spans="1:21" ht="36.950000000000003" customHeight="1" x14ac:dyDescent="0.4">
      <c r="A21" s="18">
        <v>17</v>
      </c>
      <c r="B21" s="29" t="s">
        <v>318</v>
      </c>
      <c r="C21" s="20" t="s">
        <v>74</v>
      </c>
      <c r="D21" s="21" t="s">
        <v>75</v>
      </c>
      <c r="E21" s="21" t="s">
        <v>37</v>
      </c>
      <c r="F21" s="21" t="s">
        <v>37</v>
      </c>
      <c r="G21" s="68"/>
      <c r="H21" s="70" t="s">
        <v>68</v>
      </c>
      <c r="I21" s="22" t="s">
        <v>76</v>
      </c>
      <c r="J21" s="23">
        <v>44.704799999999999</v>
      </c>
      <c r="K21" s="183">
        <v>10.637499999999999</v>
      </c>
      <c r="L21" s="23"/>
      <c r="M21" s="23"/>
      <c r="N21" s="66">
        <v>12299000</v>
      </c>
      <c r="O21" s="24">
        <f t="shared" si="2"/>
        <v>4511000</v>
      </c>
      <c r="P21" s="24">
        <v>7080000</v>
      </c>
      <c r="Q21" s="24">
        <v>708000</v>
      </c>
      <c r="R21" s="24">
        <v>8931974.9600000009</v>
      </c>
      <c r="S21" s="24" t="s">
        <v>77</v>
      </c>
      <c r="T21" s="24">
        <v>3437192.51</v>
      </c>
      <c r="U21" s="24">
        <v>2654311.2999999998</v>
      </c>
    </row>
    <row r="22" spans="1:21" ht="93" customHeight="1" x14ac:dyDescent="0.4">
      <c r="A22" s="18">
        <v>18</v>
      </c>
      <c r="B22" s="29" t="s">
        <v>318</v>
      </c>
      <c r="C22" s="20" t="s">
        <v>78</v>
      </c>
      <c r="D22" s="21" t="s">
        <v>79</v>
      </c>
      <c r="E22" s="21" t="s">
        <v>45</v>
      </c>
      <c r="F22" s="21" t="s">
        <v>45</v>
      </c>
      <c r="G22" s="68"/>
      <c r="H22" s="70" t="s">
        <v>68</v>
      </c>
      <c r="I22" s="41" t="s">
        <v>80</v>
      </c>
      <c r="J22" s="23">
        <v>44.69</v>
      </c>
      <c r="K22" s="183">
        <v>10.665100000000001</v>
      </c>
      <c r="L22" s="23"/>
      <c r="M22" s="23"/>
      <c r="N22" s="65">
        <v>4296000</v>
      </c>
      <c r="O22" s="24">
        <f t="shared" si="2"/>
        <v>1128000</v>
      </c>
      <c r="P22" s="24">
        <v>2880000</v>
      </c>
      <c r="Q22" s="24">
        <v>288000</v>
      </c>
      <c r="R22" s="24">
        <v>3701150.61</v>
      </c>
      <c r="S22" s="24"/>
      <c r="T22" s="24">
        <v>153640.16</v>
      </c>
      <c r="U22" s="24">
        <v>68825.759999999995</v>
      </c>
    </row>
    <row r="23" spans="1:21" ht="27.6" customHeight="1" x14ac:dyDescent="0.4">
      <c r="A23" s="18"/>
      <c r="B23" s="34" t="s">
        <v>62</v>
      </c>
      <c r="C23" s="34"/>
      <c r="D23" s="21"/>
      <c r="E23" s="21"/>
      <c r="F23" s="21"/>
      <c r="G23" s="68"/>
      <c r="H23" s="70"/>
      <c r="I23" s="21"/>
      <c r="J23" s="42"/>
      <c r="K23" s="187"/>
      <c r="L23" s="42"/>
      <c r="M23" s="42"/>
      <c r="N23" s="67">
        <f>SUM(N19:N22)</f>
        <v>18643994.240000002</v>
      </c>
      <c r="O23" s="37">
        <f t="shared" si="2"/>
        <v>6447994.2400000021</v>
      </c>
      <c r="P23" s="37">
        <f>SUM(P19:P22)</f>
        <v>11200000</v>
      </c>
      <c r="Q23" s="37">
        <f>SUM(Q19:Q22)</f>
        <v>996000</v>
      </c>
      <c r="R23" s="37"/>
      <c r="S23" s="37"/>
      <c r="T23" s="37">
        <f>SUM(T19:T22)</f>
        <v>3878285.1</v>
      </c>
      <c r="U23" s="37">
        <f>SUM(U19:U22)</f>
        <v>2911784.1599999997</v>
      </c>
    </row>
    <row r="24" spans="1:21" ht="20.100000000000001" customHeight="1" x14ac:dyDescent="0.4">
      <c r="A24" s="18"/>
      <c r="B24" s="17" t="s">
        <v>81</v>
      </c>
      <c r="C24" s="17"/>
      <c r="D24" s="17"/>
      <c r="E24" s="17"/>
      <c r="F24" s="17"/>
      <c r="G24" s="71"/>
      <c r="H24" s="72"/>
      <c r="I24" s="17"/>
      <c r="J24" s="39"/>
      <c r="K24" s="186"/>
      <c r="L24" s="38"/>
      <c r="M24" s="38"/>
      <c r="N24" s="202"/>
      <c r="O24" s="39"/>
      <c r="P24" s="39"/>
      <c r="Q24" s="39"/>
      <c r="R24" s="39"/>
      <c r="S24" s="39"/>
      <c r="T24" s="39"/>
      <c r="U24" s="39"/>
    </row>
    <row r="25" spans="1:21" ht="29.65" customHeight="1" x14ac:dyDescent="0.4">
      <c r="A25" s="18">
        <v>19</v>
      </c>
      <c r="B25" s="43" t="s">
        <v>320</v>
      </c>
      <c r="C25" s="20" t="s">
        <v>83</v>
      </c>
      <c r="D25" s="21" t="s">
        <v>84</v>
      </c>
      <c r="E25" s="21" t="s">
        <v>85</v>
      </c>
      <c r="F25" s="21" t="s">
        <v>85</v>
      </c>
      <c r="G25" s="68">
        <v>100</v>
      </c>
      <c r="H25" s="73">
        <v>46265</v>
      </c>
      <c r="I25" s="22" t="s">
        <v>86</v>
      </c>
      <c r="J25" s="23">
        <v>44.688259000000002</v>
      </c>
      <c r="K25" s="183">
        <v>10.6251</v>
      </c>
      <c r="L25" s="23"/>
      <c r="M25" s="23"/>
      <c r="N25" s="66">
        <v>16644000</v>
      </c>
      <c r="O25" s="24">
        <f t="shared" ref="O25:O38" si="3">N25-P25-Q25</f>
        <v>5160000</v>
      </c>
      <c r="P25" s="24">
        <v>10440000</v>
      </c>
      <c r="Q25" s="24">
        <v>1044000</v>
      </c>
      <c r="R25" s="25">
        <v>16644000</v>
      </c>
      <c r="S25" s="25">
        <f t="shared" ref="S25:S27" si="4">N25-R25</f>
        <v>0</v>
      </c>
      <c r="T25" s="24">
        <v>10728120.25</v>
      </c>
      <c r="U25" s="24">
        <v>9406326.0500000007</v>
      </c>
    </row>
    <row r="26" spans="1:21" ht="30.6" customHeight="1" x14ac:dyDescent="0.4">
      <c r="A26" s="18">
        <v>20</v>
      </c>
      <c r="B26" s="43" t="s">
        <v>320</v>
      </c>
      <c r="C26" s="20" t="s">
        <v>87</v>
      </c>
      <c r="D26" s="21" t="s">
        <v>88</v>
      </c>
      <c r="E26" s="21" t="s">
        <v>89</v>
      </c>
      <c r="F26" s="21" t="s">
        <v>89</v>
      </c>
      <c r="G26" s="68">
        <v>100</v>
      </c>
      <c r="H26" s="69">
        <v>46203</v>
      </c>
      <c r="I26" s="27" t="s">
        <v>90</v>
      </c>
      <c r="J26" s="23">
        <v>44.6665688</v>
      </c>
      <c r="K26" s="183">
        <v>10.565811699999999</v>
      </c>
      <c r="L26" s="23"/>
      <c r="M26" s="23"/>
      <c r="N26" s="65">
        <v>674000</v>
      </c>
      <c r="O26" s="24">
        <f t="shared" si="3"/>
        <v>247400</v>
      </c>
      <c r="P26" s="24">
        <v>426600</v>
      </c>
      <c r="Q26" s="24">
        <v>0</v>
      </c>
      <c r="R26" s="24">
        <v>674000</v>
      </c>
      <c r="S26" s="24">
        <f t="shared" si="4"/>
        <v>0</v>
      </c>
      <c r="T26" s="24">
        <v>606538.05000000005</v>
      </c>
      <c r="U26" s="24">
        <v>373187.68</v>
      </c>
    </row>
    <row r="27" spans="1:21" ht="28.7" customHeight="1" x14ac:dyDescent="0.4">
      <c r="A27" s="18">
        <v>21</v>
      </c>
      <c r="B27" s="43" t="s">
        <v>320</v>
      </c>
      <c r="C27" s="20" t="s">
        <v>91</v>
      </c>
      <c r="D27" s="21" t="s">
        <v>92</v>
      </c>
      <c r="E27" s="21" t="s">
        <v>66</v>
      </c>
      <c r="F27" s="21" t="s">
        <v>66</v>
      </c>
      <c r="G27" s="68">
        <v>100</v>
      </c>
      <c r="H27" s="69">
        <v>46203</v>
      </c>
      <c r="I27" s="22" t="s">
        <v>93</v>
      </c>
      <c r="J27" s="23">
        <v>44.640900000000002</v>
      </c>
      <c r="K27" s="183">
        <v>10.7371</v>
      </c>
      <c r="L27" s="23"/>
      <c r="M27" s="23"/>
      <c r="N27" s="65">
        <v>582172.35</v>
      </c>
      <c r="O27" s="24">
        <f t="shared" si="3"/>
        <v>209499.99999999997</v>
      </c>
      <c r="P27" s="24">
        <v>355500</v>
      </c>
      <c r="Q27" s="24">
        <v>17172.349999999999</v>
      </c>
      <c r="R27" s="24">
        <v>582172.35</v>
      </c>
      <c r="S27" s="24">
        <f t="shared" si="4"/>
        <v>0</v>
      </c>
      <c r="T27" s="24">
        <v>498228.21</v>
      </c>
      <c r="U27" s="24">
        <v>352325.61</v>
      </c>
    </row>
    <row r="28" spans="1:21" ht="38.25" customHeight="1" x14ac:dyDescent="0.4">
      <c r="A28" s="18">
        <v>22</v>
      </c>
      <c r="B28" s="43" t="s">
        <v>320</v>
      </c>
      <c r="C28" s="20" t="s">
        <v>94</v>
      </c>
      <c r="D28" s="21" t="s">
        <v>95</v>
      </c>
      <c r="E28" s="21" t="s">
        <v>23</v>
      </c>
      <c r="F28" s="21" t="s">
        <v>15</v>
      </c>
      <c r="G28" s="68">
        <v>100</v>
      </c>
      <c r="H28" s="69">
        <v>46203</v>
      </c>
      <c r="I28" s="22" t="s">
        <v>96</v>
      </c>
      <c r="J28" s="23">
        <v>44.739435299999997</v>
      </c>
      <c r="K28" s="183">
        <v>10.5131975</v>
      </c>
      <c r="L28" s="23"/>
      <c r="M28" s="23"/>
      <c r="N28" s="65">
        <v>309920.55</v>
      </c>
      <c r="O28" s="24">
        <f t="shared" si="3"/>
        <v>119749.99999999999</v>
      </c>
      <c r="P28" s="24">
        <v>177750</v>
      </c>
      <c r="Q28" s="24">
        <v>12420.55</v>
      </c>
      <c r="R28" s="24">
        <v>309292.7</v>
      </c>
      <c r="S28" s="24">
        <v>627.85</v>
      </c>
      <c r="T28" s="24">
        <v>309202.57</v>
      </c>
      <c r="U28" s="24">
        <v>189989.05</v>
      </c>
    </row>
    <row r="29" spans="1:21" ht="31.5" customHeight="1" x14ac:dyDescent="0.4">
      <c r="A29" s="18">
        <v>23</v>
      </c>
      <c r="B29" s="43" t="s">
        <v>320</v>
      </c>
      <c r="C29" s="20" t="s">
        <v>97</v>
      </c>
      <c r="D29" s="21" t="s">
        <v>98</v>
      </c>
      <c r="E29" s="21" t="s">
        <v>99</v>
      </c>
      <c r="F29" s="21" t="s">
        <v>99</v>
      </c>
      <c r="G29" s="68">
        <v>100</v>
      </c>
      <c r="H29" s="69">
        <v>46203</v>
      </c>
      <c r="I29" s="22" t="s">
        <v>100</v>
      </c>
      <c r="J29" s="23">
        <v>44.691237999999998</v>
      </c>
      <c r="K29" s="183">
        <v>10.6424</v>
      </c>
      <c r="L29" s="23"/>
      <c r="M29" s="23"/>
      <c r="N29" s="65">
        <v>588000</v>
      </c>
      <c r="O29" s="24">
        <f t="shared" si="3"/>
        <v>232500</v>
      </c>
      <c r="P29" s="24">
        <v>355500</v>
      </c>
      <c r="Q29" s="24">
        <v>0</v>
      </c>
      <c r="R29" s="24">
        <v>588000</v>
      </c>
      <c r="S29" s="24">
        <v>0</v>
      </c>
      <c r="T29" s="24">
        <v>546282.66</v>
      </c>
      <c r="U29" s="24">
        <v>353135.93</v>
      </c>
    </row>
    <row r="30" spans="1:21" ht="31.5" customHeight="1" x14ac:dyDescent="0.4">
      <c r="A30" s="18">
        <v>24</v>
      </c>
      <c r="B30" s="43" t="s">
        <v>320</v>
      </c>
      <c r="C30" s="20" t="s">
        <v>101</v>
      </c>
      <c r="D30" s="21" t="s">
        <v>102</v>
      </c>
      <c r="E30" s="21" t="s">
        <v>66</v>
      </c>
      <c r="F30" s="21" t="s">
        <v>66</v>
      </c>
      <c r="G30" s="68">
        <v>100</v>
      </c>
      <c r="H30" s="69">
        <v>46203</v>
      </c>
      <c r="I30" s="22" t="s">
        <v>103</v>
      </c>
      <c r="J30" s="23">
        <v>44.691132000000003</v>
      </c>
      <c r="K30" s="183">
        <v>10.650399999999999</v>
      </c>
      <c r="L30" s="23"/>
      <c r="M30" s="23"/>
      <c r="N30" s="65">
        <v>659291.30000000005</v>
      </c>
      <c r="O30" s="24">
        <f t="shared" si="3"/>
        <v>259500.00000000006</v>
      </c>
      <c r="P30" s="24">
        <v>355500</v>
      </c>
      <c r="Q30" s="24">
        <v>44291.3</v>
      </c>
      <c r="R30" s="24">
        <v>659291.30000000005</v>
      </c>
      <c r="S30" s="25">
        <f t="shared" ref="S30:S32" si="5">N30-R30</f>
        <v>0</v>
      </c>
      <c r="T30" s="24">
        <v>533095.49</v>
      </c>
      <c r="U30" s="24">
        <v>369330.23</v>
      </c>
    </row>
    <row r="31" spans="1:21" ht="29.65" customHeight="1" x14ac:dyDescent="0.4">
      <c r="A31" s="18">
        <v>25</v>
      </c>
      <c r="B31" s="43" t="s">
        <v>320</v>
      </c>
      <c r="C31" s="20" t="s">
        <v>104</v>
      </c>
      <c r="D31" s="21" t="s">
        <v>105</v>
      </c>
      <c r="E31" s="21" t="s">
        <v>15</v>
      </c>
      <c r="F31" s="21" t="s">
        <v>15</v>
      </c>
      <c r="G31" s="68">
        <v>100</v>
      </c>
      <c r="H31" s="69">
        <v>46203</v>
      </c>
      <c r="I31" s="44" t="s">
        <v>106</v>
      </c>
      <c r="J31" s="23">
        <v>44.68618</v>
      </c>
      <c r="K31" s="183">
        <v>10.65208</v>
      </c>
      <c r="L31" s="23"/>
      <c r="M31" s="23"/>
      <c r="N31" s="65">
        <v>1166880</v>
      </c>
      <c r="O31" s="24">
        <f t="shared" si="3"/>
        <v>0</v>
      </c>
      <c r="P31" s="24">
        <v>1060800</v>
      </c>
      <c r="Q31" s="25">
        <v>106080</v>
      </c>
      <c r="R31" s="24">
        <v>1041389.39</v>
      </c>
      <c r="S31" s="24">
        <f t="shared" si="5"/>
        <v>125490.60999999999</v>
      </c>
      <c r="T31" s="24">
        <v>589571.06999999995</v>
      </c>
      <c r="U31" s="24">
        <v>589571.06999999995</v>
      </c>
    </row>
    <row r="32" spans="1:21" ht="28.7" customHeight="1" x14ac:dyDescent="0.4">
      <c r="A32" s="18">
        <v>26</v>
      </c>
      <c r="B32" s="43" t="s">
        <v>320</v>
      </c>
      <c r="C32" s="20" t="s">
        <v>107</v>
      </c>
      <c r="D32" s="21" t="s">
        <v>108</v>
      </c>
      <c r="E32" s="21" t="s">
        <v>15</v>
      </c>
      <c r="F32" s="21" t="s">
        <v>15</v>
      </c>
      <c r="G32" s="68">
        <v>100</v>
      </c>
      <c r="H32" s="69">
        <v>46203</v>
      </c>
      <c r="I32" s="22" t="s">
        <v>109</v>
      </c>
      <c r="J32" s="23">
        <v>44.688259000000002</v>
      </c>
      <c r="K32" s="183">
        <v>10.6251</v>
      </c>
      <c r="L32" s="23"/>
      <c r="M32" s="23"/>
      <c r="N32" s="65">
        <v>800500</v>
      </c>
      <c r="O32" s="24">
        <f t="shared" si="3"/>
        <v>135000</v>
      </c>
      <c r="P32" s="24">
        <v>605000</v>
      </c>
      <c r="Q32" s="24">
        <v>60500</v>
      </c>
      <c r="R32" s="24">
        <v>800500</v>
      </c>
      <c r="S32" s="24">
        <f t="shared" si="5"/>
        <v>0</v>
      </c>
      <c r="T32" s="24">
        <v>530177.91</v>
      </c>
      <c r="U32" s="24">
        <v>508336.5</v>
      </c>
    </row>
    <row r="33" spans="1:21" ht="29.65" customHeight="1" x14ac:dyDescent="0.4">
      <c r="A33" s="18">
        <v>27</v>
      </c>
      <c r="B33" s="43" t="s">
        <v>320</v>
      </c>
      <c r="C33" s="20" t="s">
        <v>110</v>
      </c>
      <c r="D33" s="21" t="s">
        <v>111</v>
      </c>
      <c r="E33" s="21" t="s">
        <v>15</v>
      </c>
      <c r="F33" s="21" t="s">
        <v>15</v>
      </c>
      <c r="G33" s="68">
        <v>100</v>
      </c>
      <c r="H33" s="69">
        <v>46203</v>
      </c>
      <c r="I33" s="22" t="s">
        <v>112</v>
      </c>
      <c r="J33" s="23">
        <v>44.685400000000001</v>
      </c>
      <c r="K33" s="183">
        <v>10.6195</v>
      </c>
      <c r="L33" s="23"/>
      <c r="M33" s="23"/>
      <c r="N33" s="66">
        <v>950460.75</v>
      </c>
      <c r="O33" s="24">
        <f t="shared" si="3"/>
        <v>63860.75</v>
      </c>
      <c r="P33" s="24">
        <v>806000</v>
      </c>
      <c r="Q33" s="24">
        <v>80600</v>
      </c>
      <c r="R33" s="24">
        <v>950460.75</v>
      </c>
      <c r="S33" s="24">
        <v>0</v>
      </c>
      <c r="T33" s="24">
        <v>795325.1</v>
      </c>
      <c r="U33" s="24">
        <v>740436.3</v>
      </c>
    </row>
    <row r="34" spans="1:21" ht="31.5" customHeight="1" x14ac:dyDescent="0.4">
      <c r="A34" s="18">
        <v>28</v>
      </c>
      <c r="B34" s="43" t="s">
        <v>320</v>
      </c>
      <c r="C34" s="20" t="s">
        <v>113</v>
      </c>
      <c r="D34" s="21" t="s">
        <v>114</v>
      </c>
      <c r="E34" s="21" t="s">
        <v>15</v>
      </c>
      <c r="F34" s="21" t="s">
        <v>15</v>
      </c>
      <c r="G34" s="68">
        <v>100</v>
      </c>
      <c r="H34" s="69">
        <v>46203</v>
      </c>
      <c r="I34" s="22" t="s">
        <v>115</v>
      </c>
      <c r="J34" s="23">
        <v>44.672800000000002</v>
      </c>
      <c r="K34" s="183">
        <v>10.614800000000001</v>
      </c>
      <c r="L34" s="23"/>
      <c r="M34" s="23"/>
      <c r="N34" s="65">
        <v>1297610</v>
      </c>
      <c r="O34" s="24">
        <f t="shared" si="3"/>
        <v>115000</v>
      </c>
      <c r="P34" s="24">
        <v>1075100</v>
      </c>
      <c r="Q34" s="24">
        <v>107510</v>
      </c>
      <c r="R34" s="24">
        <v>1297610</v>
      </c>
      <c r="S34" s="24">
        <f t="shared" ref="S34:S36" si="6">N34-R34</f>
        <v>0</v>
      </c>
      <c r="T34" s="24">
        <v>877646.06</v>
      </c>
      <c r="U34" s="24">
        <v>839849.25</v>
      </c>
    </row>
    <row r="35" spans="1:21" ht="32.450000000000003" customHeight="1" x14ac:dyDescent="0.4">
      <c r="A35" s="18">
        <v>29</v>
      </c>
      <c r="B35" s="43" t="s">
        <v>320</v>
      </c>
      <c r="C35" s="20" t="s">
        <v>116</v>
      </c>
      <c r="D35" s="21" t="s">
        <v>117</v>
      </c>
      <c r="E35" s="21" t="s">
        <v>15</v>
      </c>
      <c r="F35" s="21" t="s">
        <v>15</v>
      </c>
      <c r="G35" s="68">
        <v>100</v>
      </c>
      <c r="H35" s="69">
        <v>46203</v>
      </c>
      <c r="I35" s="22" t="s">
        <v>118</v>
      </c>
      <c r="J35" s="23">
        <v>44.692799999999998</v>
      </c>
      <c r="K35" s="183">
        <v>10.607799999999999</v>
      </c>
      <c r="L35" s="23"/>
      <c r="M35" s="23"/>
      <c r="N35" s="65">
        <v>1284961.55</v>
      </c>
      <c r="O35" s="24">
        <f t="shared" si="3"/>
        <v>138101.55000000005</v>
      </c>
      <c r="P35" s="24">
        <v>1042600</v>
      </c>
      <c r="Q35" s="24">
        <v>104260</v>
      </c>
      <c r="R35" s="24">
        <v>1273190.53</v>
      </c>
      <c r="S35" s="24">
        <f t="shared" si="6"/>
        <v>11771.020000000019</v>
      </c>
      <c r="T35" s="24">
        <v>1270702.1000000001</v>
      </c>
      <c r="U35" s="24">
        <v>1132600.56</v>
      </c>
    </row>
    <row r="36" spans="1:21" ht="32.450000000000003" customHeight="1" x14ac:dyDescent="0.4">
      <c r="A36" s="18">
        <v>30</v>
      </c>
      <c r="B36" s="43" t="s">
        <v>320</v>
      </c>
      <c r="C36" s="20" t="s">
        <v>119</v>
      </c>
      <c r="D36" s="21" t="s">
        <v>120</v>
      </c>
      <c r="E36" s="21" t="s">
        <v>15</v>
      </c>
      <c r="F36" s="21" t="s">
        <v>15</v>
      </c>
      <c r="G36" s="68">
        <v>100</v>
      </c>
      <c r="H36" s="69">
        <v>46203</v>
      </c>
      <c r="I36" s="22" t="s">
        <v>121</v>
      </c>
      <c r="J36" s="23">
        <v>44.706521000000002</v>
      </c>
      <c r="K36" s="183">
        <v>10.595694999999999</v>
      </c>
      <c r="L36" s="23"/>
      <c r="M36" s="23"/>
      <c r="N36" s="65">
        <v>972950</v>
      </c>
      <c r="O36" s="24">
        <f t="shared" si="3"/>
        <v>0</v>
      </c>
      <c r="P36" s="24">
        <v>884500</v>
      </c>
      <c r="Q36" s="24">
        <v>88450</v>
      </c>
      <c r="R36" s="24">
        <v>874084.38</v>
      </c>
      <c r="S36" s="24">
        <f t="shared" si="6"/>
        <v>98865.62</v>
      </c>
      <c r="T36" s="24">
        <v>765508.28</v>
      </c>
      <c r="U36" s="24">
        <v>765508.28</v>
      </c>
    </row>
    <row r="37" spans="1:21" ht="31.5" customHeight="1" x14ac:dyDescent="0.4">
      <c r="A37" s="18">
        <v>31</v>
      </c>
      <c r="B37" s="43" t="s">
        <v>320</v>
      </c>
      <c r="C37" s="20" t="s">
        <v>122</v>
      </c>
      <c r="D37" s="21" t="s">
        <v>123</v>
      </c>
      <c r="E37" s="21" t="s">
        <v>15</v>
      </c>
      <c r="F37" s="21" t="s">
        <v>15</v>
      </c>
      <c r="G37" s="68">
        <v>100</v>
      </c>
      <c r="H37" s="81">
        <v>46265</v>
      </c>
      <c r="I37" s="27" t="s">
        <v>124</v>
      </c>
      <c r="J37" s="23">
        <v>44.700631000000001</v>
      </c>
      <c r="K37" s="183">
        <v>10.599942</v>
      </c>
      <c r="L37" s="23"/>
      <c r="M37" s="23"/>
      <c r="N37" s="66">
        <v>4794400</v>
      </c>
      <c r="O37" s="24">
        <f t="shared" si="3"/>
        <v>1600000</v>
      </c>
      <c r="P37" s="24">
        <v>2904000</v>
      </c>
      <c r="Q37" s="24">
        <v>290400</v>
      </c>
      <c r="R37" s="25">
        <v>4794400</v>
      </c>
      <c r="S37" s="24">
        <v>0</v>
      </c>
      <c r="T37" s="24">
        <v>3666533.2</v>
      </c>
      <c r="U37" s="24">
        <v>2435463.02</v>
      </c>
    </row>
    <row r="38" spans="1:21" ht="39.200000000000003" customHeight="1" x14ac:dyDescent="0.4">
      <c r="A38" s="18"/>
      <c r="B38" s="34" t="s">
        <v>62</v>
      </c>
      <c r="C38" s="34"/>
      <c r="D38" s="34"/>
      <c r="E38" s="34"/>
      <c r="F38" s="34"/>
      <c r="G38" s="68"/>
      <c r="H38" s="70"/>
      <c r="I38" s="34"/>
      <c r="J38" s="35"/>
      <c r="K38" s="185"/>
      <c r="L38" s="118"/>
      <c r="M38" s="118"/>
      <c r="N38" s="67">
        <f>SUM(N25:N37)</f>
        <v>30725146.500000004</v>
      </c>
      <c r="O38" s="37">
        <f t="shared" si="3"/>
        <v>8280612.3000000035</v>
      </c>
      <c r="P38" s="37">
        <f>SUM(P25:P37)</f>
        <v>20488850</v>
      </c>
      <c r="Q38" s="37">
        <f>SUM(Q25:Q37)</f>
        <v>1955684.2000000002</v>
      </c>
      <c r="R38" s="37"/>
      <c r="S38" s="37"/>
      <c r="T38" s="37">
        <f>SUM(T25:T37)</f>
        <v>21716930.950000003</v>
      </c>
      <c r="U38" s="37">
        <f>SUM(U25:U37)</f>
        <v>18056059.530000001</v>
      </c>
    </row>
    <row r="39" spans="1:21" ht="20.100000000000001" customHeight="1" x14ac:dyDescent="0.4">
      <c r="A39" s="18"/>
      <c r="B39" s="17" t="s">
        <v>125</v>
      </c>
      <c r="C39" s="17"/>
      <c r="D39" s="17"/>
      <c r="E39" s="17"/>
      <c r="F39" s="17"/>
      <c r="G39" s="71"/>
      <c r="H39" s="72"/>
      <c r="I39" s="17"/>
      <c r="J39" s="39"/>
      <c r="K39" s="186"/>
      <c r="L39" s="38"/>
      <c r="M39" s="38"/>
      <c r="N39" s="202"/>
      <c r="O39" s="39"/>
      <c r="P39" s="39"/>
      <c r="Q39" s="39"/>
      <c r="R39" s="39"/>
      <c r="S39" s="39"/>
      <c r="T39" s="39"/>
      <c r="U39" s="39"/>
    </row>
    <row r="40" spans="1:21" ht="26.85" customHeight="1" x14ac:dyDescent="0.4">
      <c r="A40" s="18">
        <v>32</v>
      </c>
      <c r="B40" s="45" t="s">
        <v>321</v>
      </c>
      <c r="C40" s="20" t="s">
        <v>126</v>
      </c>
      <c r="D40" s="21" t="s">
        <v>127</v>
      </c>
      <c r="E40" s="21" t="s">
        <v>85</v>
      </c>
      <c r="F40" s="21" t="s">
        <v>85</v>
      </c>
      <c r="G40" s="68">
        <v>100</v>
      </c>
      <c r="H40" s="69">
        <v>46203</v>
      </c>
      <c r="I40" s="22" t="s">
        <v>128</v>
      </c>
      <c r="J40" s="23">
        <v>44.657499999999999</v>
      </c>
      <c r="K40" s="183">
        <v>10.708299999999999</v>
      </c>
      <c r="L40" s="23"/>
      <c r="M40" s="23"/>
      <c r="N40" s="65">
        <v>2650000</v>
      </c>
      <c r="O40" s="24">
        <f t="shared" ref="O40:O42" si="7">N40-P40-Q40</f>
        <v>150000</v>
      </c>
      <c r="P40" s="24">
        <v>2500000</v>
      </c>
      <c r="Q40" s="24">
        <v>0</v>
      </c>
      <c r="R40" s="24">
        <v>2650000</v>
      </c>
      <c r="S40" s="24">
        <f t="shared" ref="S40:S41" si="8">N40-R40</f>
        <v>0</v>
      </c>
      <c r="T40" s="24">
        <v>2256549.5</v>
      </c>
      <c r="U40" s="24">
        <v>2252541.14</v>
      </c>
    </row>
    <row r="41" spans="1:21" ht="26.85" customHeight="1" x14ac:dyDescent="0.4">
      <c r="A41" s="18">
        <v>33</v>
      </c>
      <c r="B41" s="45" t="s">
        <v>321</v>
      </c>
      <c r="C41" s="20" t="s">
        <v>129</v>
      </c>
      <c r="D41" s="21" t="s">
        <v>130</v>
      </c>
      <c r="E41" s="21" t="s">
        <v>85</v>
      </c>
      <c r="F41" s="21" t="s">
        <v>85</v>
      </c>
      <c r="G41" s="68">
        <v>100</v>
      </c>
      <c r="H41" s="69">
        <v>46203</v>
      </c>
      <c r="I41" s="46" t="s">
        <v>131</v>
      </c>
      <c r="J41" s="23">
        <v>44.693269999999998</v>
      </c>
      <c r="K41" s="183">
        <v>10.64129</v>
      </c>
      <c r="L41" s="23"/>
      <c r="M41" s="23"/>
      <c r="N41" s="65">
        <v>1300000</v>
      </c>
      <c r="O41" s="24">
        <f t="shared" si="7"/>
        <v>300000</v>
      </c>
      <c r="P41" s="24">
        <v>1000000</v>
      </c>
      <c r="Q41" s="24">
        <v>0</v>
      </c>
      <c r="R41" s="25">
        <v>1216311.1599999999</v>
      </c>
      <c r="S41" s="24">
        <f t="shared" si="8"/>
        <v>83688.840000000084</v>
      </c>
      <c r="T41" s="24">
        <v>1212002.54</v>
      </c>
      <c r="U41" s="24">
        <v>976937.78</v>
      </c>
    </row>
    <row r="42" spans="1:21" ht="36.4" customHeight="1" x14ac:dyDescent="0.4">
      <c r="A42" s="18"/>
      <c r="B42" s="34" t="s">
        <v>62</v>
      </c>
      <c r="C42" s="34"/>
      <c r="D42" s="34"/>
      <c r="E42" s="34"/>
      <c r="F42" s="34"/>
      <c r="G42" s="68"/>
      <c r="H42" s="70"/>
      <c r="I42" s="34"/>
      <c r="J42" s="35"/>
      <c r="K42" s="185"/>
      <c r="L42" s="118"/>
      <c r="M42" s="118"/>
      <c r="N42" s="67">
        <f>SUM(N40:N41)</f>
        <v>3950000</v>
      </c>
      <c r="O42" s="37">
        <f t="shared" si="7"/>
        <v>450000</v>
      </c>
      <c r="P42" s="37">
        <f>SUM(P40:P41)</f>
        <v>3500000</v>
      </c>
      <c r="Q42" s="37">
        <f>SUM(Q40:Q41)</f>
        <v>0</v>
      </c>
      <c r="R42" s="37"/>
      <c r="S42" s="37"/>
      <c r="T42" s="37">
        <f>SUM(T40:T41)</f>
        <v>3468552.04</v>
      </c>
      <c r="U42" s="37">
        <f>SUM(U40:U41)</f>
        <v>3229478.92</v>
      </c>
    </row>
    <row r="43" spans="1:21" ht="21" customHeight="1" x14ac:dyDescent="0.4">
      <c r="A43" s="18"/>
      <c r="B43" s="17" t="s">
        <v>132</v>
      </c>
      <c r="C43" s="17"/>
      <c r="D43" s="17"/>
      <c r="E43" s="17"/>
      <c r="F43" s="17"/>
      <c r="G43" s="71"/>
      <c r="H43" s="72"/>
      <c r="I43" s="17"/>
      <c r="J43" s="39"/>
      <c r="K43" s="186"/>
      <c r="L43" s="38"/>
      <c r="M43" s="38"/>
      <c r="N43" s="202"/>
      <c r="O43" s="39"/>
      <c r="P43" s="39"/>
      <c r="Q43" s="39"/>
      <c r="R43" s="39"/>
      <c r="S43" s="39"/>
      <c r="T43" s="39"/>
      <c r="U43" s="39"/>
    </row>
    <row r="44" spans="1:21" ht="42.95" customHeight="1" x14ac:dyDescent="0.4">
      <c r="A44" s="85">
        <v>34</v>
      </c>
      <c r="B44" s="29" t="s">
        <v>318</v>
      </c>
      <c r="C44" s="79" t="s">
        <v>133</v>
      </c>
      <c r="D44" s="79" t="s">
        <v>134</v>
      </c>
      <c r="E44" s="79" t="s">
        <v>135</v>
      </c>
      <c r="F44" s="79" t="s">
        <v>135</v>
      </c>
      <c r="G44" s="80">
        <v>100</v>
      </c>
      <c r="H44" s="81">
        <v>46203</v>
      </c>
      <c r="I44" s="82" t="s">
        <v>136</v>
      </c>
      <c r="J44" s="83">
        <v>44.693809999999999</v>
      </c>
      <c r="K44" s="184">
        <v>10.655150000000001</v>
      </c>
      <c r="L44" s="83">
        <v>44.697800000000001</v>
      </c>
      <c r="M44" s="83">
        <v>10.6303</v>
      </c>
      <c r="N44" s="200">
        <v>487039</v>
      </c>
      <c r="O44" s="84">
        <f t="shared" ref="O44:O47" si="9">N44-P44-Q44</f>
        <v>0</v>
      </c>
      <c r="P44" s="84">
        <v>487039</v>
      </c>
      <c r="Q44" s="84">
        <v>0</v>
      </c>
      <c r="R44" s="47">
        <v>386700.27</v>
      </c>
      <c r="S44" s="30">
        <f t="shared" ref="S44:S45" si="10">N44-R44</f>
        <v>100338.72999999998</v>
      </c>
      <c r="T44" s="30">
        <v>386841.79</v>
      </c>
      <c r="U44" s="30">
        <v>386841.79</v>
      </c>
    </row>
    <row r="45" spans="1:21" ht="68.45" customHeight="1" x14ac:dyDescent="0.4">
      <c r="A45" s="85">
        <v>35</v>
      </c>
      <c r="B45" s="29" t="s">
        <v>318</v>
      </c>
      <c r="C45" s="79" t="s">
        <v>137</v>
      </c>
      <c r="D45" s="79" t="s">
        <v>138</v>
      </c>
      <c r="E45" s="79" t="s">
        <v>37</v>
      </c>
      <c r="F45" s="79" t="s">
        <v>37</v>
      </c>
      <c r="G45" s="80">
        <v>100</v>
      </c>
      <c r="H45" s="81">
        <v>46203</v>
      </c>
      <c r="I45" s="86" t="s">
        <v>139</v>
      </c>
      <c r="J45" s="83">
        <v>44.725255900000001</v>
      </c>
      <c r="K45" s="184">
        <v>10.6546029</v>
      </c>
      <c r="L45" s="83">
        <v>44.7301</v>
      </c>
      <c r="M45" s="83">
        <v>10.645</v>
      </c>
      <c r="N45" s="200">
        <v>1600000</v>
      </c>
      <c r="O45" s="84">
        <f t="shared" si="9"/>
        <v>0</v>
      </c>
      <c r="P45" s="84">
        <v>1600000</v>
      </c>
      <c r="Q45" s="84">
        <v>0</v>
      </c>
      <c r="R45" s="31">
        <v>1517005.86</v>
      </c>
      <c r="S45" s="30">
        <f t="shared" si="10"/>
        <v>82994.139999999898</v>
      </c>
      <c r="T45" s="30">
        <v>1513502.86</v>
      </c>
      <c r="U45" s="30">
        <v>1513502.86</v>
      </c>
    </row>
    <row r="46" spans="1:21" ht="35.1" customHeight="1" x14ac:dyDescent="0.4">
      <c r="A46" s="85">
        <v>36</v>
      </c>
      <c r="B46" s="29" t="s">
        <v>318</v>
      </c>
      <c r="C46" s="79" t="s">
        <v>140</v>
      </c>
      <c r="D46" s="79" t="s">
        <v>141</v>
      </c>
      <c r="E46" s="79" t="s">
        <v>135</v>
      </c>
      <c r="F46" s="79" t="s">
        <v>135</v>
      </c>
      <c r="G46" s="80">
        <v>100</v>
      </c>
      <c r="H46" s="81">
        <v>46203</v>
      </c>
      <c r="I46" s="82" t="s">
        <v>142</v>
      </c>
      <c r="J46" s="83">
        <v>44.643999999999998</v>
      </c>
      <c r="K46" s="184">
        <v>10.63</v>
      </c>
      <c r="L46" s="83">
        <v>44.720539000000002</v>
      </c>
      <c r="M46" s="83">
        <v>10.637499999999999</v>
      </c>
      <c r="N46" s="200">
        <v>860237.57</v>
      </c>
      <c r="O46" s="84">
        <f t="shared" si="9"/>
        <v>0</v>
      </c>
      <c r="P46" s="84">
        <v>860237.57</v>
      </c>
      <c r="Q46" s="84">
        <v>0</v>
      </c>
      <c r="R46" s="30">
        <v>744210.03</v>
      </c>
      <c r="S46" s="30">
        <v>116027.54</v>
      </c>
      <c r="T46" s="30">
        <v>744210.03</v>
      </c>
      <c r="U46" s="30">
        <v>744210.03</v>
      </c>
    </row>
    <row r="47" spans="1:21" ht="35.450000000000003" customHeight="1" x14ac:dyDescent="0.4">
      <c r="A47" s="18"/>
      <c r="B47" s="34" t="s">
        <v>62</v>
      </c>
      <c r="C47" s="34"/>
      <c r="D47" s="34"/>
      <c r="E47" s="34"/>
      <c r="F47" s="34"/>
      <c r="G47" s="68"/>
      <c r="H47" s="70"/>
      <c r="I47" s="34"/>
      <c r="J47" s="35"/>
      <c r="K47" s="185"/>
      <c r="L47" s="118"/>
      <c r="M47" s="118"/>
      <c r="N47" s="67">
        <f>SUM(N44:N46)</f>
        <v>2947276.57</v>
      </c>
      <c r="O47" s="37">
        <f t="shared" si="9"/>
        <v>0</v>
      </c>
      <c r="P47" s="37">
        <f>SUM(P44:P46)</f>
        <v>2947276.57</v>
      </c>
      <c r="Q47" s="37">
        <f>SUM(Q44:Q46)</f>
        <v>0</v>
      </c>
      <c r="R47" s="37"/>
      <c r="S47" s="37"/>
      <c r="T47" s="37">
        <f>SUM(T44:T46)</f>
        <v>2644554.6800000002</v>
      </c>
      <c r="U47" s="37">
        <f>SUM(U44:U46)</f>
        <v>2644554.6800000002</v>
      </c>
    </row>
    <row r="48" spans="1:21" ht="21" customHeight="1" x14ac:dyDescent="0.4">
      <c r="A48" s="18"/>
      <c r="B48" s="17" t="s">
        <v>143</v>
      </c>
      <c r="C48" s="17"/>
      <c r="D48" s="17"/>
      <c r="E48" s="17"/>
      <c r="F48" s="17"/>
      <c r="G48" s="71"/>
      <c r="H48" s="72"/>
      <c r="I48" s="17"/>
      <c r="J48" s="39"/>
      <c r="K48" s="186"/>
      <c r="L48" s="38"/>
      <c r="M48" s="38"/>
      <c r="N48" s="202"/>
      <c r="O48" s="39"/>
      <c r="P48" s="39"/>
      <c r="Q48" s="39"/>
      <c r="R48" s="39"/>
      <c r="S48" s="39"/>
      <c r="T48" s="39"/>
      <c r="U48" s="39"/>
    </row>
    <row r="49" spans="1:21" ht="38.1" customHeight="1" x14ac:dyDescent="0.4">
      <c r="A49" s="18">
        <v>37</v>
      </c>
      <c r="B49" s="48" t="s">
        <v>322</v>
      </c>
      <c r="C49" s="20" t="s">
        <v>144</v>
      </c>
      <c r="D49" s="21" t="s">
        <v>145</v>
      </c>
      <c r="E49" s="21" t="s">
        <v>146</v>
      </c>
      <c r="F49" s="21" t="s">
        <v>146</v>
      </c>
      <c r="G49" s="68">
        <v>100</v>
      </c>
      <c r="H49" s="69">
        <v>46203</v>
      </c>
      <c r="I49" s="22" t="s">
        <v>518</v>
      </c>
      <c r="J49" s="23"/>
      <c r="K49" s="183"/>
      <c r="L49" s="23"/>
      <c r="M49" s="23"/>
      <c r="N49" s="65">
        <v>2460000</v>
      </c>
      <c r="O49" s="24">
        <f t="shared" ref="O49:O54" si="11">N49-P49-Q49</f>
        <v>0</v>
      </c>
      <c r="P49" s="24">
        <v>2460000</v>
      </c>
      <c r="Q49" s="24">
        <v>0</v>
      </c>
      <c r="R49" s="24">
        <v>2349441.3199999998</v>
      </c>
      <c r="S49" s="24">
        <f>N49-R49</f>
        <v>110558.68000000017</v>
      </c>
      <c r="T49" s="49">
        <v>1135706.8600000001</v>
      </c>
      <c r="U49" s="49">
        <v>1135706.8600000001</v>
      </c>
    </row>
    <row r="50" spans="1:21" ht="51.6" customHeight="1" x14ac:dyDescent="0.4">
      <c r="A50" s="18">
        <v>38</v>
      </c>
      <c r="B50" s="48" t="s">
        <v>322</v>
      </c>
      <c r="C50" s="20" t="s">
        <v>148</v>
      </c>
      <c r="D50" s="21" t="s">
        <v>149</v>
      </c>
      <c r="E50" s="21" t="s">
        <v>146</v>
      </c>
      <c r="F50" s="21" t="s">
        <v>146</v>
      </c>
      <c r="G50" s="68">
        <v>100</v>
      </c>
      <c r="H50" s="69">
        <v>46203</v>
      </c>
      <c r="I50" s="27" t="s">
        <v>150</v>
      </c>
      <c r="J50" s="23">
        <v>44.70975</v>
      </c>
      <c r="K50" s="183">
        <v>10.608269999999999</v>
      </c>
      <c r="L50" s="23"/>
      <c r="M50" s="23"/>
      <c r="N50" s="65">
        <v>765000</v>
      </c>
      <c r="O50" s="24">
        <f t="shared" si="11"/>
        <v>50000</v>
      </c>
      <c r="P50" s="24">
        <v>715000</v>
      </c>
      <c r="Q50" s="24">
        <v>0</v>
      </c>
      <c r="R50" s="24">
        <v>765000</v>
      </c>
      <c r="S50" s="24">
        <v>0</v>
      </c>
      <c r="T50" s="49">
        <v>521673.2</v>
      </c>
      <c r="U50" s="49">
        <v>500157.81</v>
      </c>
    </row>
    <row r="51" spans="1:21" ht="63.2" customHeight="1" x14ac:dyDescent="0.4">
      <c r="A51" s="18">
        <v>39</v>
      </c>
      <c r="B51" s="48" t="s">
        <v>322</v>
      </c>
      <c r="C51" s="20" t="s">
        <v>151</v>
      </c>
      <c r="D51" s="21" t="s">
        <v>152</v>
      </c>
      <c r="E51" s="21" t="s">
        <v>153</v>
      </c>
      <c r="F51" s="21" t="s">
        <v>153</v>
      </c>
      <c r="G51" s="169"/>
      <c r="H51" s="170"/>
      <c r="I51" s="27" t="s">
        <v>154</v>
      </c>
      <c r="J51" s="23"/>
      <c r="K51" s="183"/>
      <c r="L51" s="23"/>
      <c r="M51" s="23"/>
      <c r="N51" s="65">
        <v>329583.84000000003</v>
      </c>
      <c r="O51" s="24">
        <f t="shared" si="11"/>
        <v>0</v>
      </c>
      <c r="P51" s="24">
        <v>329583.84000000003</v>
      </c>
      <c r="Q51" s="24">
        <v>0</v>
      </c>
      <c r="R51" s="24">
        <v>309994.65999999997</v>
      </c>
      <c r="S51" s="24">
        <f>N51-R51</f>
        <v>19589.180000000051</v>
      </c>
      <c r="T51" s="24">
        <v>226064.53</v>
      </c>
      <c r="U51" s="24">
        <v>226064.53</v>
      </c>
    </row>
    <row r="52" spans="1:21" ht="25.35" customHeight="1" x14ac:dyDescent="0.4">
      <c r="A52" s="18">
        <v>40</v>
      </c>
      <c r="B52" s="48" t="s">
        <v>322</v>
      </c>
      <c r="C52" s="20" t="s">
        <v>155</v>
      </c>
      <c r="D52" s="21" t="s">
        <v>156</v>
      </c>
      <c r="E52" s="21" t="s">
        <v>146</v>
      </c>
      <c r="F52" s="21" t="s">
        <v>146</v>
      </c>
      <c r="G52" s="68">
        <v>100</v>
      </c>
      <c r="H52" s="69">
        <v>46203</v>
      </c>
      <c r="I52" s="22" t="s">
        <v>157</v>
      </c>
      <c r="J52" s="23">
        <v>44.6982</v>
      </c>
      <c r="K52" s="183">
        <v>10.617800000000001</v>
      </c>
      <c r="L52" s="23"/>
      <c r="M52" s="23"/>
      <c r="N52" s="65">
        <v>710000</v>
      </c>
      <c r="O52" s="24">
        <f t="shared" si="11"/>
        <v>0</v>
      </c>
      <c r="P52" s="24">
        <v>710000</v>
      </c>
      <c r="Q52" s="24">
        <v>0</v>
      </c>
      <c r="R52" s="24">
        <v>710000</v>
      </c>
      <c r="S52" s="24">
        <v>0</v>
      </c>
      <c r="T52" s="49">
        <v>698121.76</v>
      </c>
      <c r="U52" s="49">
        <v>698121.76</v>
      </c>
    </row>
    <row r="53" spans="1:21" ht="42.4" customHeight="1" x14ac:dyDescent="0.4">
      <c r="A53" s="18">
        <v>41</v>
      </c>
      <c r="B53" s="48" t="s">
        <v>322</v>
      </c>
      <c r="C53" s="20" t="s">
        <v>158</v>
      </c>
      <c r="D53" s="21" t="s">
        <v>159</v>
      </c>
      <c r="E53" s="21" t="s">
        <v>146</v>
      </c>
      <c r="F53" s="21" t="s">
        <v>146</v>
      </c>
      <c r="G53" s="68">
        <v>100</v>
      </c>
      <c r="H53" s="69">
        <v>46203</v>
      </c>
      <c r="I53" s="27" t="s">
        <v>160</v>
      </c>
      <c r="J53" s="23">
        <v>44.709000000000003</v>
      </c>
      <c r="K53" s="183">
        <v>10.608700000000001</v>
      </c>
      <c r="L53" s="23"/>
      <c r="M53" s="23"/>
      <c r="N53" s="65">
        <v>1387000</v>
      </c>
      <c r="O53" s="24">
        <f t="shared" si="11"/>
        <v>297000</v>
      </c>
      <c r="P53" s="24">
        <v>1090000</v>
      </c>
      <c r="Q53" s="24">
        <v>0</v>
      </c>
      <c r="R53" s="24">
        <v>1387000</v>
      </c>
      <c r="S53" s="24">
        <v>0</v>
      </c>
      <c r="T53" s="49">
        <v>936086.68</v>
      </c>
      <c r="U53" s="49">
        <v>936086.68</v>
      </c>
    </row>
    <row r="54" spans="1:21" ht="38.25" customHeight="1" x14ac:dyDescent="0.4">
      <c r="A54" s="18"/>
      <c r="B54" s="34" t="s">
        <v>62</v>
      </c>
      <c r="C54" s="34"/>
      <c r="D54" s="34"/>
      <c r="E54" s="34"/>
      <c r="F54" s="34"/>
      <c r="G54" s="68"/>
      <c r="H54" s="70"/>
      <c r="I54" s="34"/>
      <c r="J54" s="35"/>
      <c r="K54" s="185"/>
      <c r="L54" s="118"/>
      <c r="M54" s="118"/>
      <c r="N54" s="67">
        <f>SUM(N49:N53)</f>
        <v>5651583.8399999999</v>
      </c>
      <c r="O54" s="37">
        <f t="shared" si="11"/>
        <v>347000</v>
      </c>
      <c r="P54" s="37">
        <f>SUM(P49:P53)</f>
        <v>5304583.84</v>
      </c>
      <c r="Q54" s="37">
        <f>SUM(Q49:Q53)</f>
        <v>0</v>
      </c>
      <c r="R54" s="37"/>
      <c r="S54" s="37"/>
      <c r="T54" s="37">
        <f>SUM(T49:T53)</f>
        <v>3517653.0300000003</v>
      </c>
      <c r="U54" s="37">
        <f>SUM(U49:U53)</f>
        <v>3496137.64</v>
      </c>
    </row>
    <row r="55" spans="1:21" ht="20.100000000000001" customHeight="1" x14ac:dyDescent="0.4">
      <c r="A55" s="18"/>
      <c r="B55" s="17" t="s">
        <v>161</v>
      </c>
      <c r="C55" s="17"/>
      <c r="D55" s="17"/>
      <c r="E55" s="17"/>
      <c r="F55" s="17"/>
      <c r="G55" s="71"/>
      <c r="H55" s="72"/>
      <c r="I55" s="17"/>
      <c r="J55" s="39"/>
      <c r="K55" s="186"/>
      <c r="L55" s="38"/>
      <c r="M55" s="38"/>
      <c r="N55" s="202"/>
      <c r="O55" s="39"/>
      <c r="P55" s="39"/>
      <c r="Q55" s="39"/>
      <c r="R55" s="39"/>
      <c r="S55" s="39"/>
      <c r="T55" s="39"/>
      <c r="U55" s="39"/>
    </row>
    <row r="56" spans="1:21" ht="25.9" customHeight="1" x14ac:dyDescent="0.4">
      <c r="A56" s="18">
        <v>42</v>
      </c>
      <c r="B56" s="19" t="s">
        <v>316</v>
      </c>
      <c r="C56" s="20" t="s">
        <v>162</v>
      </c>
      <c r="D56" s="21" t="s">
        <v>163</v>
      </c>
      <c r="E56" s="21" t="s">
        <v>164</v>
      </c>
      <c r="F56" s="21" t="s">
        <v>164</v>
      </c>
      <c r="G56" s="68">
        <v>100</v>
      </c>
      <c r="H56" s="69">
        <v>46203</v>
      </c>
      <c r="I56" s="46" t="s">
        <v>165</v>
      </c>
      <c r="J56" s="23">
        <v>44.700042000000003</v>
      </c>
      <c r="K56" s="183">
        <v>10.632056</v>
      </c>
      <c r="L56" s="23"/>
      <c r="M56" s="23"/>
      <c r="N56" s="65">
        <v>499999</v>
      </c>
      <c r="O56" s="24">
        <f>N56-P56-Q56</f>
        <v>0</v>
      </c>
      <c r="P56" s="24">
        <v>499999</v>
      </c>
      <c r="Q56" s="24">
        <v>0</v>
      </c>
      <c r="R56" s="24">
        <v>499999</v>
      </c>
      <c r="S56" s="24">
        <v>0</v>
      </c>
      <c r="T56" s="24">
        <v>478633.36</v>
      </c>
      <c r="U56" s="24">
        <v>478633.36</v>
      </c>
    </row>
    <row r="57" spans="1:21" ht="25.9" customHeight="1" x14ac:dyDescent="0.4">
      <c r="A57" s="103">
        <v>43</v>
      </c>
      <c r="B57" s="132" t="s">
        <v>316</v>
      </c>
      <c r="C57" s="105" t="s">
        <v>166</v>
      </c>
      <c r="D57" s="109" t="s">
        <v>163</v>
      </c>
      <c r="E57" s="109"/>
      <c r="F57" s="109"/>
      <c r="G57" s="133"/>
      <c r="H57" s="148"/>
      <c r="I57" s="109"/>
      <c r="J57" s="110">
        <v>44.700042000000003</v>
      </c>
      <c r="K57" s="188">
        <v>10.632056</v>
      </c>
      <c r="L57" s="23"/>
      <c r="M57" s="23"/>
      <c r="N57" s="203"/>
      <c r="O57" s="135"/>
      <c r="P57" s="135"/>
      <c r="Q57" s="135"/>
      <c r="R57" s="135"/>
      <c r="S57" s="135"/>
      <c r="T57" s="135"/>
      <c r="U57" s="135"/>
    </row>
    <row r="58" spans="1:21" ht="25.9" customHeight="1" x14ac:dyDescent="0.4">
      <c r="A58" s="97"/>
      <c r="B58" s="117" t="s">
        <v>62</v>
      </c>
      <c r="C58" s="117"/>
      <c r="D58" s="117"/>
      <c r="E58" s="117"/>
      <c r="F58" s="117"/>
      <c r="G58" s="130"/>
      <c r="H58" s="146"/>
      <c r="I58" s="50"/>
      <c r="J58" s="101"/>
      <c r="K58" s="189"/>
      <c r="L58" s="100"/>
      <c r="M58" s="100"/>
      <c r="N58" s="67">
        <f>SUM(N56:N57)</f>
        <v>499999</v>
      </c>
      <c r="O58" s="37">
        <f>N58-P58-Q58</f>
        <v>0</v>
      </c>
      <c r="P58" s="37">
        <f>SUM(P56:P57)</f>
        <v>499999</v>
      </c>
      <c r="Q58" s="37">
        <f>SUM(Q56:Q57)</f>
        <v>0</v>
      </c>
      <c r="R58" s="36"/>
      <c r="S58" s="36"/>
      <c r="T58" s="36">
        <f>SUM(T56:T57)</f>
        <v>478633.36</v>
      </c>
      <c r="U58" s="36">
        <f>SUM(U56:U57)</f>
        <v>478633.36</v>
      </c>
    </row>
    <row r="59" spans="1:21" ht="20.100000000000001" customHeight="1" x14ac:dyDescent="0.4">
      <c r="A59" s="136"/>
      <c r="B59" s="142" t="s">
        <v>167</v>
      </c>
      <c r="C59" s="142"/>
      <c r="D59" s="142"/>
      <c r="E59" s="142"/>
      <c r="F59" s="142"/>
      <c r="G59" s="143"/>
      <c r="H59" s="144"/>
      <c r="I59" s="142"/>
      <c r="J59" s="145"/>
      <c r="K59" s="190"/>
      <c r="L59" s="38"/>
      <c r="M59" s="38"/>
      <c r="N59" s="204"/>
      <c r="O59" s="145"/>
      <c r="P59" s="145"/>
      <c r="Q59" s="145"/>
      <c r="R59" s="145"/>
      <c r="S59" s="145"/>
      <c r="T59" s="145"/>
      <c r="U59" s="145"/>
    </row>
    <row r="60" spans="1:21" ht="21.95" customHeight="1" x14ac:dyDescent="0.4">
      <c r="A60" s="103">
        <v>44</v>
      </c>
      <c r="B60" s="150" t="s">
        <v>319</v>
      </c>
      <c r="C60" s="105" t="s">
        <v>168</v>
      </c>
      <c r="D60" s="109" t="s">
        <v>169</v>
      </c>
      <c r="E60" s="109" t="s">
        <v>15</v>
      </c>
      <c r="F60" s="109" t="s">
        <v>15</v>
      </c>
      <c r="G60" s="133">
        <v>100</v>
      </c>
      <c r="H60" s="108">
        <v>46203</v>
      </c>
      <c r="I60" s="151" t="s">
        <v>170</v>
      </c>
      <c r="J60" s="110">
        <v>44.691237999999998</v>
      </c>
      <c r="K60" s="188">
        <v>10.6424</v>
      </c>
      <c r="L60" s="23"/>
      <c r="M60" s="23"/>
      <c r="N60" s="203">
        <v>3586500</v>
      </c>
      <c r="O60" s="135">
        <f>N60-P60-Q60</f>
        <v>537975</v>
      </c>
      <c r="P60" s="135">
        <v>3048525</v>
      </c>
      <c r="Q60" s="135">
        <v>0</v>
      </c>
      <c r="R60" s="135">
        <v>3586500</v>
      </c>
      <c r="S60" s="135">
        <f>N60-R60</f>
        <v>0</v>
      </c>
      <c r="T60" s="135">
        <v>2597815.48</v>
      </c>
      <c r="U60" s="135">
        <v>2263959.5</v>
      </c>
    </row>
    <row r="61" spans="1:21" ht="21.95" customHeight="1" x14ac:dyDescent="0.4">
      <c r="A61" s="97"/>
      <c r="B61" s="117" t="s">
        <v>62</v>
      </c>
      <c r="C61" s="117"/>
      <c r="D61" s="117"/>
      <c r="E61" s="117"/>
      <c r="F61" s="117"/>
      <c r="G61" s="130"/>
      <c r="H61" s="99"/>
      <c r="I61" s="149"/>
      <c r="J61" s="101"/>
      <c r="K61" s="189"/>
      <c r="L61" s="100"/>
      <c r="M61" s="100"/>
      <c r="N61" s="67">
        <f>SUM(N60:N60)</f>
        <v>3586500</v>
      </c>
      <c r="O61" s="37">
        <f>N61-P61-Q61</f>
        <v>537975</v>
      </c>
      <c r="P61" s="37">
        <f>SUM(P60:P60)</f>
        <v>3048525</v>
      </c>
      <c r="Q61" s="37">
        <f>SUM(Q60:Q60)</f>
        <v>0</v>
      </c>
      <c r="R61" s="36"/>
      <c r="S61" s="36"/>
      <c r="T61" s="36">
        <f>SUM(T60:T60)</f>
        <v>2597815.48</v>
      </c>
      <c r="U61" s="36">
        <f>SUM(U60:U60)</f>
        <v>2263959.5</v>
      </c>
    </row>
    <row r="62" spans="1:21" ht="21.95" customHeight="1" x14ac:dyDescent="0.4">
      <c r="A62" s="136"/>
      <c r="B62" s="142" t="s">
        <v>171</v>
      </c>
      <c r="C62" s="142"/>
      <c r="D62" s="142"/>
      <c r="E62" s="142"/>
      <c r="F62" s="142"/>
      <c r="G62" s="143"/>
      <c r="H62" s="144"/>
      <c r="I62" s="142"/>
      <c r="J62" s="145"/>
      <c r="K62" s="190"/>
      <c r="L62" s="38"/>
      <c r="M62" s="38"/>
      <c r="N62" s="204"/>
      <c r="O62" s="145"/>
      <c r="P62" s="145"/>
      <c r="Q62" s="145"/>
      <c r="R62" s="145"/>
      <c r="S62" s="145"/>
      <c r="T62" s="145"/>
      <c r="U62" s="145"/>
    </row>
    <row r="63" spans="1:21" ht="27.6" customHeight="1" x14ac:dyDescent="0.4">
      <c r="A63" s="18">
        <v>45</v>
      </c>
      <c r="B63" s="33" t="s">
        <v>319</v>
      </c>
      <c r="C63" s="20" t="s">
        <v>172</v>
      </c>
      <c r="D63" s="21" t="s">
        <v>173</v>
      </c>
      <c r="E63" s="21" t="s">
        <v>174</v>
      </c>
      <c r="F63" s="21" t="s">
        <v>174</v>
      </c>
      <c r="G63" s="68">
        <v>100</v>
      </c>
      <c r="H63" s="69">
        <v>46203</v>
      </c>
      <c r="I63" s="22" t="s">
        <v>16</v>
      </c>
      <c r="J63" s="23">
        <v>44.704287999999998</v>
      </c>
      <c r="K63" s="183">
        <v>10.6244</v>
      </c>
      <c r="L63" s="23"/>
      <c r="M63" s="23"/>
      <c r="N63" s="65">
        <v>858381</v>
      </c>
      <c r="O63" s="24">
        <f t="shared" ref="O63:O65" si="12">N63-P63-Q63</f>
        <v>0</v>
      </c>
      <c r="P63" s="24">
        <v>858381</v>
      </c>
      <c r="Q63" s="24">
        <v>0</v>
      </c>
      <c r="R63" s="24">
        <v>563233.53</v>
      </c>
      <c r="S63" s="25">
        <f t="shared" ref="S63:S64" si="13">N63-R63</f>
        <v>295147.46999999997</v>
      </c>
      <c r="T63" s="24">
        <v>563233.53</v>
      </c>
      <c r="U63" s="24">
        <v>563233.53</v>
      </c>
    </row>
    <row r="64" spans="1:21" ht="25.35" customHeight="1" x14ac:dyDescent="0.4">
      <c r="A64" s="18">
        <v>46</v>
      </c>
      <c r="B64" s="33" t="s">
        <v>319</v>
      </c>
      <c r="C64" s="20" t="s">
        <v>175</v>
      </c>
      <c r="D64" s="21" t="s">
        <v>176</v>
      </c>
      <c r="E64" s="21" t="s">
        <v>174</v>
      </c>
      <c r="F64" s="21" t="s">
        <v>174</v>
      </c>
      <c r="G64" s="68">
        <v>100</v>
      </c>
      <c r="H64" s="69">
        <v>46203</v>
      </c>
      <c r="I64" s="27" t="s">
        <v>177</v>
      </c>
      <c r="J64" s="23">
        <v>44.6892</v>
      </c>
      <c r="K64" s="183">
        <v>10.724</v>
      </c>
      <c r="L64" s="23"/>
      <c r="M64" s="23"/>
      <c r="N64" s="65">
        <v>2087716</v>
      </c>
      <c r="O64" s="24">
        <f t="shared" si="12"/>
        <v>0</v>
      </c>
      <c r="P64" s="24">
        <v>2087716</v>
      </c>
      <c r="Q64" s="24">
        <v>0</v>
      </c>
      <c r="R64" s="24">
        <v>643249.4</v>
      </c>
      <c r="S64" s="25">
        <f t="shared" si="13"/>
        <v>1444466.6</v>
      </c>
      <c r="T64" s="24">
        <v>633985.77</v>
      </c>
      <c r="U64" s="24">
        <v>633985.77</v>
      </c>
    </row>
    <row r="65" spans="1:21" ht="32.1" customHeight="1" x14ac:dyDescent="0.4">
      <c r="A65" s="18"/>
      <c r="B65" s="50" t="s">
        <v>62</v>
      </c>
      <c r="C65" s="50"/>
      <c r="D65" s="21"/>
      <c r="E65" s="21"/>
      <c r="F65" s="21"/>
      <c r="G65" s="68"/>
      <c r="H65" s="70"/>
      <c r="I65" s="21"/>
      <c r="J65" s="42"/>
      <c r="K65" s="187"/>
      <c r="L65" s="42"/>
      <c r="M65" s="42"/>
      <c r="N65" s="67">
        <f>SUM(N63:N64)</f>
        <v>2946097</v>
      </c>
      <c r="O65" s="37">
        <f t="shared" si="12"/>
        <v>0</v>
      </c>
      <c r="P65" s="37">
        <f>SUM(P63:P64)</f>
        <v>2946097</v>
      </c>
      <c r="Q65" s="37">
        <f>SUM(Q63:Q64)</f>
        <v>0</v>
      </c>
      <c r="R65" s="36"/>
      <c r="S65" s="36"/>
      <c r="T65" s="36">
        <f>SUM(T63:T64)</f>
        <v>1197219.3</v>
      </c>
      <c r="U65" s="36">
        <f>SUM(U63:U64)</f>
        <v>1197219.3</v>
      </c>
    </row>
    <row r="66" spans="1:21" ht="20.100000000000001" customHeight="1" x14ac:dyDescent="0.4">
      <c r="A66" s="18"/>
      <c r="B66" s="17" t="s">
        <v>178</v>
      </c>
      <c r="C66" s="17"/>
      <c r="D66" s="17"/>
      <c r="E66" s="17"/>
      <c r="F66" s="17"/>
      <c r="G66" s="71"/>
      <c r="H66" s="72"/>
      <c r="I66" s="17"/>
      <c r="J66" s="39"/>
      <c r="K66" s="186"/>
      <c r="L66" s="38"/>
      <c r="M66" s="38"/>
      <c r="N66" s="202"/>
      <c r="O66" s="39"/>
      <c r="P66" s="39"/>
      <c r="Q66" s="39"/>
      <c r="R66" s="39"/>
      <c r="S66" s="39"/>
      <c r="T66" s="39"/>
      <c r="U66" s="39"/>
    </row>
    <row r="67" spans="1:21" ht="39.75" customHeight="1" x14ac:dyDescent="0.4">
      <c r="A67" s="18">
        <v>47</v>
      </c>
      <c r="B67" s="43" t="s">
        <v>320</v>
      </c>
      <c r="C67" s="20" t="s">
        <v>337</v>
      </c>
      <c r="D67" s="21" t="s">
        <v>180</v>
      </c>
      <c r="E67" s="21" t="s">
        <v>15</v>
      </c>
      <c r="F67" s="21" t="s">
        <v>15</v>
      </c>
      <c r="G67" s="74" t="s">
        <v>182</v>
      </c>
      <c r="H67" s="69"/>
      <c r="I67" s="22" t="s">
        <v>181</v>
      </c>
      <c r="J67" s="23">
        <v>44.680999999999997</v>
      </c>
      <c r="K67" s="183">
        <v>10.6637</v>
      </c>
      <c r="L67" s="23"/>
      <c r="M67" s="23"/>
      <c r="N67" s="65">
        <v>350000</v>
      </c>
      <c r="O67" s="24">
        <f t="shared" ref="O67:O75" si="14">N67-P67-Q67</f>
        <v>0</v>
      </c>
      <c r="P67" s="24">
        <v>350000</v>
      </c>
      <c r="Q67" s="24">
        <v>0</v>
      </c>
      <c r="R67" s="24">
        <v>350000</v>
      </c>
      <c r="S67" s="24">
        <v>0</v>
      </c>
      <c r="T67" s="24">
        <v>340588.53</v>
      </c>
      <c r="U67" s="24">
        <v>340588.53</v>
      </c>
    </row>
    <row r="68" spans="1:21" ht="47.85" customHeight="1" x14ac:dyDescent="0.4">
      <c r="A68" s="18">
        <v>48</v>
      </c>
      <c r="B68" s="43" t="s">
        <v>320</v>
      </c>
      <c r="C68" s="20" t="s">
        <v>338</v>
      </c>
      <c r="D68" s="21" t="s">
        <v>184</v>
      </c>
      <c r="E68" s="21" t="s">
        <v>23</v>
      </c>
      <c r="F68" s="21" t="s">
        <v>15</v>
      </c>
      <c r="G68" s="68">
        <v>100</v>
      </c>
      <c r="H68" s="70"/>
      <c r="I68" s="46" t="s">
        <v>185</v>
      </c>
      <c r="J68" s="23">
        <v>44.69867</v>
      </c>
      <c r="K68" s="183">
        <v>10.61177</v>
      </c>
      <c r="L68" s="23"/>
      <c r="M68" s="23"/>
      <c r="N68" s="65">
        <v>356488.01</v>
      </c>
      <c r="O68" s="24">
        <f t="shared" si="14"/>
        <v>9.0949470177292824E-12</v>
      </c>
      <c r="P68" s="24">
        <v>350000</v>
      </c>
      <c r="Q68" s="24">
        <v>6488.01</v>
      </c>
      <c r="R68" s="24">
        <v>344592.89</v>
      </c>
      <c r="S68" s="24">
        <f>N68-R68</f>
        <v>11895.119999999995</v>
      </c>
      <c r="T68" s="24">
        <v>344592.89</v>
      </c>
      <c r="U68" s="24">
        <v>344592.89</v>
      </c>
    </row>
    <row r="69" spans="1:21" ht="50.45" customHeight="1" x14ac:dyDescent="0.4">
      <c r="A69" s="18">
        <v>49</v>
      </c>
      <c r="B69" s="43" t="s">
        <v>320</v>
      </c>
      <c r="C69" s="216" t="s">
        <v>186</v>
      </c>
      <c r="D69" s="217" t="s">
        <v>187</v>
      </c>
      <c r="E69" s="217" t="s">
        <v>188</v>
      </c>
      <c r="F69" s="217" t="s">
        <v>15</v>
      </c>
      <c r="G69" s="218" t="s">
        <v>58</v>
      </c>
      <c r="H69" s="219" t="s">
        <v>58</v>
      </c>
      <c r="I69" s="217"/>
      <c r="J69" s="220">
        <v>44.698999999999998</v>
      </c>
      <c r="K69" s="221">
        <v>10.623900000000001</v>
      </c>
      <c r="L69" s="220"/>
      <c r="M69" s="220"/>
      <c r="N69" s="222">
        <v>245000</v>
      </c>
      <c r="O69" s="223">
        <f t="shared" si="14"/>
        <v>45000</v>
      </c>
      <c r="P69" s="223">
        <v>200000</v>
      </c>
      <c r="Q69" s="223">
        <v>0</v>
      </c>
      <c r="R69" s="51"/>
      <c r="S69" s="51"/>
      <c r="T69" s="51">
        <v>9389.1200000000008</v>
      </c>
      <c r="U69" s="51">
        <v>9389.1200000000008</v>
      </c>
    </row>
    <row r="70" spans="1:21" ht="34.5" x14ac:dyDescent="0.4">
      <c r="A70" s="18">
        <v>50</v>
      </c>
      <c r="B70" s="52" t="s">
        <v>323</v>
      </c>
      <c r="C70" s="20" t="s">
        <v>189</v>
      </c>
      <c r="D70" s="21" t="s">
        <v>190</v>
      </c>
      <c r="E70" s="21" t="s">
        <v>191</v>
      </c>
      <c r="F70" s="21" t="s">
        <v>192</v>
      </c>
      <c r="G70" s="74" t="s">
        <v>182</v>
      </c>
      <c r="H70" s="70"/>
      <c r="I70" s="46" t="s">
        <v>193</v>
      </c>
      <c r="J70" s="23">
        <v>44.7194</v>
      </c>
      <c r="K70" s="183">
        <v>10.6797</v>
      </c>
      <c r="L70" s="23"/>
      <c r="M70" s="23"/>
      <c r="N70" s="65">
        <v>140000</v>
      </c>
      <c r="O70" s="24">
        <f t="shared" si="14"/>
        <v>0</v>
      </c>
      <c r="P70" s="24">
        <v>140000</v>
      </c>
      <c r="Q70" s="24">
        <v>0</v>
      </c>
      <c r="R70" s="24">
        <v>140000</v>
      </c>
      <c r="S70" s="24">
        <v>0</v>
      </c>
      <c r="T70" s="24">
        <v>137470.57999999999</v>
      </c>
      <c r="U70" s="24">
        <v>137470.57999999999</v>
      </c>
    </row>
    <row r="71" spans="1:21" ht="25.35" customHeight="1" x14ac:dyDescent="0.4">
      <c r="A71" s="18">
        <v>51</v>
      </c>
      <c r="B71" s="52" t="s">
        <v>323</v>
      </c>
      <c r="C71" s="20" t="s">
        <v>194</v>
      </c>
      <c r="D71" s="21" t="s">
        <v>195</v>
      </c>
      <c r="E71" s="21" t="s">
        <v>45</v>
      </c>
      <c r="F71" s="21" t="s">
        <v>45</v>
      </c>
      <c r="G71" s="68">
        <v>100</v>
      </c>
      <c r="H71" s="70"/>
      <c r="I71" s="22" t="s">
        <v>196</v>
      </c>
      <c r="J71" s="23">
        <v>44.72437</v>
      </c>
      <c r="K71" s="183">
        <v>10.63161</v>
      </c>
      <c r="L71" s="23"/>
      <c r="M71" s="23"/>
      <c r="N71" s="65">
        <v>225000</v>
      </c>
      <c r="O71" s="24">
        <f t="shared" si="14"/>
        <v>0</v>
      </c>
      <c r="P71" s="24">
        <v>225000</v>
      </c>
      <c r="Q71" s="24">
        <v>0</v>
      </c>
      <c r="R71" s="24">
        <v>219611.9</v>
      </c>
      <c r="S71" s="24">
        <f t="shared" ref="S71:S73" si="15">N71-R71</f>
        <v>5388.1000000000058</v>
      </c>
      <c r="T71" s="24">
        <v>219611.9</v>
      </c>
      <c r="U71" s="24">
        <v>219611.9</v>
      </c>
    </row>
    <row r="72" spans="1:21" ht="28.9" customHeight="1" x14ac:dyDescent="0.4">
      <c r="A72" s="18">
        <v>52</v>
      </c>
      <c r="B72" s="52" t="s">
        <v>323</v>
      </c>
      <c r="C72" s="20" t="s">
        <v>197</v>
      </c>
      <c r="D72" s="21" t="s">
        <v>198</v>
      </c>
      <c r="E72" s="21" t="s">
        <v>45</v>
      </c>
      <c r="F72" s="21" t="s">
        <v>45</v>
      </c>
      <c r="G72" s="68">
        <v>100</v>
      </c>
      <c r="H72" s="70"/>
      <c r="I72" s="22" t="s">
        <v>196</v>
      </c>
      <c r="J72" s="23">
        <v>44.72437</v>
      </c>
      <c r="K72" s="183">
        <v>10.63161</v>
      </c>
      <c r="L72" s="23"/>
      <c r="M72" s="23"/>
      <c r="N72" s="65">
        <v>150000</v>
      </c>
      <c r="O72" s="24">
        <f t="shared" si="14"/>
        <v>0</v>
      </c>
      <c r="P72" s="24">
        <v>150000</v>
      </c>
      <c r="Q72" s="24">
        <v>0</v>
      </c>
      <c r="R72" s="24">
        <v>147440.66</v>
      </c>
      <c r="S72" s="24">
        <f t="shared" si="15"/>
        <v>2559.3399999999965</v>
      </c>
      <c r="T72" s="24">
        <v>147440.66</v>
      </c>
      <c r="U72" s="24">
        <v>147440.66</v>
      </c>
    </row>
    <row r="73" spans="1:21" ht="25.35" customHeight="1" x14ac:dyDescent="0.4">
      <c r="A73" s="18">
        <v>53</v>
      </c>
      <c r="B73" s="52" t="s">
        <v>323</v>
      </c>
      <c r="C73" s="20" t="s">
        <v>199</v>
      </c>
      <c r="D73" s="21" t="s">
        <v>200</v>
      </c>
      <c r="E73" s="21" t="s">
        <v>201</v>
      </c>
      <c r="F73" s="21" t="s">
        <v>201</v>
      </c>
      <c r="G73" s="68">
        <v>100</v>
      </c>
      <c r="H73" s="70"/>
      <c r="I73" s="22" t="s">
        <v>196</v>
      </c>
      <c r="J73" s="23">
        <v>44.72437</v>
      </c>
      <c r="K73" s="183">
        <v>10.63161</v>
      </c>
      <c r="L73" s="23"/>
      <c r="M73" s="23"/>
      <c r="N73" s="65">
        <v>100000</v>
      </c>
      <c r="O73" s="24">
        <f t="shared" si="14"/>
        <v>0</v>
      </c>
      <c r="P73" s="24">
        <v>100000</v>
      </c>
      <c r="Q73" s="24">
        <v>0</v>
      </c>
      <c r="R73" s="24">
        <v>98132.37</v>
      </c>
      <c r="S73" s="24">
        <f t="shared" si="15"/>
        <v>1867.6300000000047</v>
      </c>
      <c r="T73" s="24">
        <v>96862.05</v>
      </c>
      <c r="U73" s="24">
        <v>96862.05</v>
      </c>
    </row>
    <row r="74" spans="1:21" ht="23.85" customHeight="1" x14ac:dyDescent="0.4">
      <c r="A74" s="18">
        <v>54</v>
      </c>
      <c r="B74" s="52" t="s">
        <v>323</v>
      </c>
      <c r="C74" s="20" t="s">
        <v>202</v>
      </c>
      <c r="D74" s="21" t="s">
        <v>203</v>
      </c>
      <c r="E74" s="21" t="s">
        <v>201</v>
      </c>
      <c r="F74" s="21" t="s">
        <v>201</v>
      </c>
      <c r="G74" s="68">
        <v>100</v>
      </c>
      <c r="H74" s="70"/>
      <c r="I74" s="46" t="s">
        <v>204</v>
      </c>
      <c r="J74" s="23">
        <v>44.6892</v>
      </c>
      <c r="K74" s="183">
        <v>10.724</v>
      </c>
      <c r="L74" s="23"/>
      <c r="M74" s="23"/>
      <c r="N74" s="65">
        <v>30000</v>
      </c>
      <c r="O74" s="24">
        <f t="shared" si="14"/>
        <v>0</v>
      </c>
      <c r="P74" s="24">
        <v>30000</v>
      </c>
      <c r="Q74" s="24">
        <v>0</v>
      </c>
      <c r="R74" s="24">
        <v>29999.8</v>
      </c>
      <c r="S74" s="24">
        <v>0.2</v>
      </c>
      <c r="T74" s="24">
        <v>29999.8</v>
      </c>
      <c r="U74" s="24">
        <v>29999.8</v>
      </c>
    </row>
    <row r="75" spans="1:21" ht="21" customHeight="1" x14ac:dyDescent="0.4">
      <c r="A75" s="18">
        <v>55</v>
      </c>
      <c r="B75" s="52" t="s">
        <v>323</v>
      </c>
      <c r="C75" s="20" t="s">
        <v>205</v>
      </c>
      <c r="D75" s="21" t="s">
        <v>206</v>
      </c>
      <c r="E75" s="21" t="s">
        <v>201</v>
      </c>
      <c r="F75" s="21" t="s">
        <v>201</v>
      </c>
      <c r="G75" s="68">
        <v>100</v>
      </c>
      <c r="H75" s="70"/>
      <c r="I75" s="22" t="s">
        <v>207</v>
      </c>
      <c r="J75" s="23">
        <v>44.7288</v>
      </c>
      <c r="K75" s="183">
        <v>10.574199999999999</v>
      </c>
      <c r="L75" s="23"/>
      <c r="M75" s="23"/>
      <c r="N75" s="65">
        <v>30000</v>
      </c>
      <c r="O75" s="24">
        <f t="shared" si="14"/>
        <v>0</v>
      </c>
      <c r="P75" s="24">
        <v>30000</v>
      </c>
      <c r="Q75" s="24">
        <v>0</v>
      </c>
      <c r="R75" s="24">
        <v>29999.8</v>
      </c>
      <c r="S75" s="24">
        <v>0.2</v>
      </c>
      <c r="T75" s="24">
        <v>29999.8</v>
      </c>
      <c r="U75" s="24">
        <v>29999.8</v>
      </c>
    </row>
    <row r="76" spans="1:21" ht="35.450000000000003" customHeight="1" x14ac:dyDescent="0.4">
      <c r="A76" s="18"/>
      <c r="B76" s="34" t="s">
        <v>62</v>
      </c>
      <c r="C76" s="34"/>
      <c r="D76" s="21"/>
      <c r="F76" s="21"/>
      <c r="G76" s="75"/>
      <c r="H76" s="70"/>
      <c r="I76" s="21"/>
      <c r="J76" s="42"/>
      <c r="K76" s="187"/>
      <c r="L76" s="42"/>
      <c r="M76" s="42"/>
      <c r="N76" s="67">
        <f t="shared" ref="N76:U76" si="16">SUM(N67:N75)</f>
        <v>1626488.01</v>
      </c>
      <c r="O76" s="37">
        <f t="shared" si="16"/>
        <v>45000.000000000007</v>
      </c>
      <c r="P76" s="37">
        <f t="shared" si="16"/>
        <v>1575000</v>
      </c>
      <c r="Q76" s="37">
        <f t="shared" si="16"/>
        <v>6488.01</v>
      </c>
      <c r="R76" s="37">
        <f t="shared" si="16"/>
        <v>1359777.42</v>
      </c>
      <c r="S76" s="37">
        <f t="shared" si="16"/>
        <v>21710.590000000004</v>
      </c>
      <c r="T76" s="37">
        <f t="shared" si="16"/>
        <v>1355955.33</v>
      </c>
      <c r="U76" s="37">
        <f t="shared" si="16"/>
        <v>1355955.33</v>
      </c>
    </row>
    <row r="77" spans="1:21" ht="20.100000000000001" customHeight="1" x14ac:dyDescent="0.4">
      <c r="A77" s="18"/>
      <c r="B77" s="17" t="s">
        <v>208</v>
      </c>
      <c r="C77" s="17"/>
      <c r="D77" s="17"/>
      <c r="E77" s="17"/>
      <c r="F77" s="17"/>
      <c r="G77" s="71"/>
      <c r="H77" s="72"/>
      <c r="I77" s="17"/>
      <c r="J77" s="39"/>
      <c r="K77" s="186"/>
      <c r="L77" s="38"/>
      <c r="M77" s="38"/>
      <c r="N77" s="202"/>
      <c r="O77" s="39"/>
      <c r="P77" s="39"/>
      <c r="Q77" s="39"/>
      <c r="R77" s="39"/>
      <c r="S77" s="39"/>
      <c r="T77" s="39"/>
      <c r="U77" s="39"/>
    </row>
    <row r="78" spans="1:21" ht="45.75" customHeight="1" x14ac:dyDescent="0.4">
      <c r="A78" s="18">
        <v>56</v>
      </c>
      <c r="B78" s="43" t="s">
        <v>320</v>
      </c>
      <c r="C78" s="20" t="s">
        <v>339</v>
      </c>
      <c r="D78" s="21" t="s">
        <v>210</v>
      </c>
      <c r="E78" s="21" t="s">
        <v>99</v>
      </c>
      <c r="F78" s="21" t="s">
        <v>99</v>
      </c>
      <c r="G78" s="68">
        <v>100</v>
      </c>
      <c r="H78" s="70"/>
      <c r="I78" s="46" t="s">
        <v>211</v>
      </c>
      <c r="J78" s="23">
        <v>44.685400000000001</v>
      </c>
      <c r="K78" s="183">
        <v>10.618</v>
      </c>
      <c r="L78" s="23"/>
      <c r="M78" s="23"/>
      <c r="N78" s="65">
        <v>240000</v>
      </c>
      <c r="O78" s="24">
        <f t="shared" ref="O78:O84" si="17">N78-P78-Q78</f>
        <v>30000</v>
      </c>
      <c r="P78" s="24">
        <v>210000</v>
      </c>
      <c r="Q78" s="24">
        <v>0</v>
      </c>
      <c r="R78" s="24">
        <v>239558.8</v>
      </c>
      <c r="S78" s="24">
        <v>441.2</v>
      </c>
      <c r="T78" s="24">
        <v>239558.8</v>
      </c>
      <c r="U78" s="24">
        <v>210000</v>
      </c>
    </row>
    <row r="79" spans="1:21" ht="25.35" customHeight="1" x14ac:dyDescent="0.4">
      <c r="A79" s="18">
        <v>57</v>
      </c>
      <c r="B79" s="33" t="s">
        <v>319</v>
      </c>
      <c r="C79" s="20" t="s">
        <v>212</v>
      </c>
      <c r="D79" s="21" t="s">
        <v>213</v>
      </c>
      <c r="E79" s="21" t="s">
        <v>214</v>
      </c>
      <c r="F79" s="21" t="s">
        <v>192</v>
      </c>
      <c r="G79" s="68">
        <v>100</v>
      </c>
      <c r="H79" s="70"/>
      <c r="I79" s="22" t="s">
        <v>519</v>
      </c>
      <c r="J79" s="53"/>
      <c r="K79" s="191"/>
      <c r="L79" s="23"/>
      <c r="M79" s="23"/>
      <c r="N79" s="65">
        <v>210000</v>
      </c>
      <c r="O79" s="24">
        <f t="shared" si="17"/>
        <v>0</v>
      </c>
      <c r="P79" s="24">
        <v>210000</v>
      </c>
      <c r="Q79" s="24">
        <v>0</v>
      </c>
      <c r="R79" s="24">
        <v>209322.78</v>
      </c>
      <c r="S79" s="24">
        <v>677.22</v>
      </c>
      <c r="T79" s="24">
        <v>209322.78</v>
      </c>
      <c r="U79" s="24">
        <v>209322.78</v>
      </c>
    </row>
    <row r="80" spans="1:21" ht="25.35" customHeight="1" x14ac:dyDescent="0.4">
      <c r="A80" s="18">
        <v>58</v>
      </c>
      <c r="B80" s="33" t="s">
        <v>319</v>
      </c>
      <c r="C80" s="20" t="s">
        <v>216</v>
      </c>
      <c r="D80" s="21" t="s">
        <v>217</v>
      </c>
      <c r="E80" s="21" t="s">
        <v>214</v>
      </c>
      <c r="F80" s="21" t="s">
        <v>192</v>
      </c>
      <c r="G80" s="68">
        <v>100</v>
      </c>
      <c r="H80" s="70"/>
      <c r="I80" s="22" t="s">
        <v>520</v>
      </c>
      <c r="J80" s="23"/>
      <c r="K80" s="183"/>
      <c r="L80" s="23"/>
      <c r="M80" s="23"/>
      <c r="N80" s="65">
        <v>210000</v>
      </c>
      <c r="O80" s="24">
        <f t="shared" si="17"/>
        <v>0</v>
      </c>
      <c r="P80" s="24">
        <v>210000</v>
      </c>
      <c r="Q80" s="24">
        <v>0</v>
      </c>
      <c r="R80" s="24">
        <v>208460.89</v>
      </c>
      <c r="S80" s="24">
        <v>1539.11</v>
      </c>
      <c r="T80" s="24">
        <v>208460.89</v>
      </c>
      <c r="U80" s="24">
        <v>208460.89</v>
      </c>
    </row>
    <row r="81" spans="1:21" ht="44.85" customHeight="1" x14ac:dyDescent="0.4">
      <c r="A81" s="18">
        <v>59</v>
      </c>
      <c r="B81" s="33" t="s">
        <v>319</v>
      </c>
      <c r="C81" s="20" t="s">
        <v>218</v>
      </c>
      <c r="D81" s="21" t="s">
        <v>219</v>
      </c>
      <c r="E81" s="21" t="s">
        <v>37</v>
      </c>
      <c r="F81" s="21" t="s">
        <v>37</v>
      </c>
      <c r="G81" s="74" t="s">
        <v>182</v>
      </c>
      <c r="H81" s="70"/>
      <c r="I81" s="22" t="s">
        <v>521</v>
      </c>
      <c r="J81" s="23"/>
      <c r="K81" s="183"/>
      <c r="L81" s="23"/>
      <c r="M81" s="23"/>
      <c r="N81" s="65">
        <v>210000</v>
      </c>
      <c r="O81" s="24">
        <f t="shared" si="17"/>
        <v>0</v>
      </c>
      <c r="P81" s="24">
        <v>210000</v>
      </c>
      <c r="Q81" s="24">
        <v>0</v>
      </c>
      <c r="R81" s="24">
        <v>169933.63</v>
      </c>
      <c r="S81" s="24">
        <v>40066.370000000003</v>
      </c>
      <c r="T81" s="24">
        <v>169933.63</v>
      </c>
      <c r="U81" s="24">
        <v>169933.63</v>
      </c>
    </row>
    <row r="82" spans="1:21" ht="25.9" customHeight="1" x14ac:dyDescent="0.4">
      <c r="A82" s="18">
        <v>60</v>
      </c>
      <c r="B82" s="33" t="s">
        <v>319</v>
      </c>
      <c r="C82" s="20" t="s">
        <v>221</v>
      </c>
      <c r="D82" s="21" t="s">
        <v>222</v>
      </c>
      <c r="E82" s="21" t="s">
        <v>223</v>
      </c>
      <c r="F82" s="21" t="s">
        <v>15</v>
      </c>
      <c r="G82" s="68">
        <v>100</v>
      </c>
      <c r="H82" s="70"/>
      <c r="I82" s="46" t="s">
        <v>224</v>
      </c>
      <c r="J82" s="23">
        <v>44.701301000000001</v>
      </c>
      <c r="K82" s="183">
        <v>10.645153000000001</v>
      </c>
      <c r="L82" s="23"/>
      <c r="M82" s="23"/>
      <c r="N82" s="65">
        <v>236975.92</v>
      </c>
      <c r="O82" s="24">
        <f t="shared" si="17"/>
        <v>26975.920000000013</v>
      </c>
      <c r="P82" s="24">
        <v>210000</v>
      </c>
      <c r="Q82" s="24">
        <v>0</v>
      </c>
      <c r="R82" s="24">
        <v>229179.9</v>
      </c>
      <c r="S82" s="24">
        <v>7796.02</v>
      </c>
      <c r="T82" s="24">
        <v>227179.9</v>
      </c>
      <c r="U82" s="24">
        <v>200203.98</v>
      </c>
    </row>
    <row r="83" spans="1:21" ht="25.35" customHeight="1" x14ac:dyDescent="0.4">
      <c r="A83" s="18">
        <v>61</v>
      </c>
      <c r="B83" s="33" t="s">
        <v>319</v>
      </c>
      <c r="C83" s="20" t="s">
        <v>225</v>
      </c>
      <c r="D83" s="21" t="s">
        <v>226</v>
      </c>
      <c r="E83" s="21" t="s">
        <v>223</v>
      </c>
      <c r="F83" s="21" t="s">
        <v>15</v>
      </c>
      <c r="G83" s="74" t="s">
        <v>182</v>
      </c>
      <c r="H83" s="70"/>
      <c r="I83" s="46" t="s">
        <v>227</v>
      </c>
      <c r="J83" s="23">
        <v>44.701301000000001</v>
      </c>
      <c r="K83" s="183">
        <v>10.645153000000001</v>
      </c>
      <c r="L83" s="23"/>
      <c r="M83" s="23"/>
      <c r="N83" s="65">
        <v>210000</v>
      </c>
      <c r="O83" s="24">
        <f t="shared" si="17"/>
        <v>0</v>
      </c>
      <c r="P83" s="24">
        <v>210000</v>
      </c>
      <c r="Q83" s="24">
        <v>0</v>
      </c>
      <c r="R83" s="24">
        <v>210000</v>
      </c>
      <c r="S83" s="24">
        <v>0</v>
      </c>
      <c r="T83" s="40">
        <v>189057.23</v>
      </c>
      <c r="U83" s="24">
        <v>189057.23</v>
      </c>
    </row>
    <row r="84" spans="1:21" ht="38.25" customHeight="1" x14ac:dyDescent="0.4">
      <c r="A84" s="18"/>
      <c r="B84" s="34" t="s">
        <v>62</v>
      </c>
      <c r="C84" s="34"/>
      <c r="D84" s="34"/>
      <c r="E84" s="34"/>
      <c r="F84" s="34"/>
      <c r="G84" s="68"/>
      <c r="H84" s="70"/>
      <c r="I84" s="34"/>
      <c r="J84" s="35"/>
      <c r="K84" s="185"/>
      <c r="L84" s="118"/>
      <c r="M84" s="118"/>
      <c r="N84" s="67">
        <f>SUM(N78:N83)</f>
        <v>1316975.92</v>
      </c>
      <c r="O84" s="37">
        <f t="shared" si="17"/>
        <v>56975.919999999925</v>
      </c>
      <c r="P84" s="37">
        <f>SUM(P78:P83)</f>
        <v>1260000</v>
      </c>
      <c r="Q84" s="37">
        <f>SUM(Q78:Q83)</f>
        <v>0</v>
      </c>
      <c r="R84" s="37"/>
      <c r="S84" s="37"/>
      <c r="T84" s="37">
        <f>SUM(T78:T83)</f>
        <v>1243513.23</v>
      </c>
      <c r="U84" s="37">
        <f>SUM(U78:U83)</f>
        <v>1186978.51</v>
      </c>
    </row>
    <row r="85" spans="1:21" ht="20.100000000000001" customHeight="1" x14ac:dyDescent="0.4">
      <c r="A85" s="18"/>
      <c r="B85" s="17" t="s">
        <v>228</v>
      </c>
      <c r="C85" s="17"/>
      <c r="D85" s="17"/>
      <c r="E85" s="17"/>
      <c r="F85" s="17"/>
      <c r="G85" s="71"/>
      <c r="H85" s="72"/>
      <c r="I85" s="17"/>
      <c r="J85" s="39"/>
      <c r="K85" s="186"/>
      <c r="L85" s="38"/>
      <c r="M85" s="38"/>
      <c r="N85" s="202"/>
      <c r="O85" s="39"/>
      <c r="P85" s="39"/>
      <c r="Q85" s="39"/>
      <c r="R85" s="39"/>
      <c r="S85" s="39"/>
      <c r="T85" s="39"/>
      <c r="U85" s="39"/>
    </row>
    <row r="86" spans="1:21" ht="25.9" customHeight="1" x14ac:dyDescent="0.4">
      <c r="A86" s="18">
        <v>62</v>
      </c>
      <c r="B86" s="54" t="s">
        <v>324</v>
      </c>
      <c r="C86" s="20" t="s">
        <v>229</v>
      </c>
      <c r="D86" s="21" t="s">
        <v>230</v>
      </c>
      <c r="E86" s="21" t="s">
        <v>231</v>
      </c>
      <c r="F86" s="21" t="s">
        <v>231</v>
      </c>
      <c r="G86" s="68">
        <v>100</v>
      </c>
      <c r="H86" s="108">
        <v>45485</v>
      </c>
      <c r="I86" s="21" t="s">
        <v>297</v>
      </c>
      <c r="J86" s="23">
        <v>44.69829</v>
      </c>
      <c r="K86" s="183">
        <v>10.634130000000001</v>
      </c>
      <c r="L86" s="23"/>
      <c r="M86" s="23"/>
      <c r="N86" s="65">
        <v>9891</v>
      </c>
      <c r="O86" s="24">
        <f t="shared" ref="O86:O87" si="18">N86-P86-Q86</f>
        <v>0</v>
      </c>
      <c r="P86" s="24">
        <v>9891</v>
      </c>
      <c r="Q86" s="24">
        <v>0</v>
      </c>
      <c r="R86" s="24"/>
      <c r="S86" s="24"/>
      <c r="T86" s="24">
        <f t="shared" ref="T86:T87" si="19">P86</f>
        <v>9891</v>
      </c>
      <c r="U86" s="24">
        <v>9891</v>
      </c>
    </row>
    <row r="87" spans="1:21" ht="25.9" customHeight="1" x14ac:dyDescent="0.4">
      <c r="A87" s="18">
        <v>63</v>
      </c>
      <c r="B87" s="54" t="s">
        <v>324</v>
      </c>
      <c r="C87" s="20" t="s">
        <v>232</v>
      </c>
      <c r="D87" s="21" t="s">
        <v>233</v>
      </c>
      <c r="E87" s="21" t="s">
        <v>231</v>
      </c>
      <c r="F87" s="21" t="s">
        <v>231</v>
      </c>
      <c r="G87" s="68">
        <v>100</v>
      </c>
      <c r="H87" s="108">
        <v>46112</v>
      </c>
      <c r="I87" s="21" t="s">
        <v>298</v>
      </c>
      <c r="J87" s="23">
        <v>44.69829</v>
      </c>
      <c r="K87" s="183">
        <v>10.634130000000001</v>
      </c>
      <c r="L87" s="23"/>
      <c r="M87" s="23"/>
      <c r="N87" s="65">
        <v>21980</v>
      </c>
      <c r="O87" s="24">
        <f t="shared" si="18"/>
        <v>0</v>
      </c>
      <c r="P87" s="24">
        <v>21980</v>
      </c>
      <c r="Q87" s="24">
        <v>0</v>
      </c>
      <c r="R87" s="24"/>
      <c r="S87" s="24"/>
      <c r="T87" s="24">
        <f t="shared" si="19"/>
        <v>21980</v>
      </c>
      <c r="U87" s="24">
        <v>21980</v>
      </c>
    </row>
    <row r="88" spans="1:21" ht="26.85" customHeight="1" x14ac:dyDescent="0.4">
      <c r="A88" s="18">
        <v>64</v>
      </c>
      <c r="B88" s="54" t="s">
        <v>324</v>
      </c>
      <c r="C88" s="20" t="s">
        <v>234</v>
      </c>
      <c r="D88" s="21" t="s">
        <v>235</v>
      </c>
      <c r="E88" s="21" t="s">
        <v>231</v>
      </c>
      <c r="F88" s="21" t="s">
        <v>231</v>
      </c>
      <c r="G88" s="68">
        <v>100</v>
      </c>
      <c r="H88" s="108">
        <v>45199</v>
      </c>
      <c r="I88" s="21" t="s">
        <v>299</v>
      </c>
      <c r="J88" s="23">
        <v>44.69829</v>
      </c>
      <c r="K88" s="183">
        <v>10.634130000000001</v>
      </c>
      <c r="L88" s="23"/>
      <c r="M88" s="23"/>
      <c r="N88" s="65">
        <v>93398</v>
      </c>
      <c r="O88" s="24">
        <f t="shared" ref="O88:O93" si="20">N88-P88-Q88</f>
        <v>0</v>
      </c>
      <c r="P88" s="24">
        <v>93398</v>
      </c>
      <c r="Q88" s="24">
        <v>0</v>
      </c>
      <c r="R88" s="24"/>
      <c r="S88" s="24"/>
      <c r="T88" s="24">
        <f t="shared" ref="T88:T90" si="21">P88</f>
        <v>93398</v>
      </c>
      <c r="U88" s="24">
        <v>93398</v>
      </c>
    </row>
    <row r="89" spans="1:21" ht="25.9" customHeight="1" x14ac:dyDescent="0.4">
      <c r="A89" s="18">
        <v>65</v>
      </c>
      <c r="B89" s="54" t="s">
        <v>324</v>
      </c>
      <c r="C89" s="20" t="s">
        <v>236</v>
      </c>
      <c r="D89" s="21" t="s">
        <v>237</v>
      </c>
      <c r="E89" s="21" t="s">
        <v>231</v>
      </c>
      <c r="F89" s="21" t="s">
        <v>231</v>
      </c>
      <c r="G89" s="68">
        <v>100</v>
      </c>
      <c r="H89" s="108">
        <v>45473</v>
      </c>
      <c r="I89" s="21" t="s">
        <v>300</v>
      </c>
      <c r="J89" s="23">
        <v>44.69829</v>
      </c>
      <c r="K89" s="183">
        <v>10.634130000000001</v>
      </c>
      <c r="L89" s="23"/>
      <c r="M89" s="23"/>
      <c r="N89" s="65">
        <v>35711</v>
      </c>
      <c r="O89" s="24">
        <f t="shared" si="20"/>
        <v>0</v>
      </c>
      <c r="P89" s="24">
        <v>35711</v>
      </c>
      <c r="Q89" s="24">
        <v>0</v>
      </c>
      <c r="R89" s="24"/>
      <c r="S89" s="24"/>
      <c r="T89" s="24">
        <f t="shared" si="21"/>
        <v>35711</v>
      </c>
      <c r="U89" s="24">
        <v>35711</v>
      </c>
    </row>
    <row r="90" spans="1:21" ht="25.9" customHeight="1" x14ac:dyDescent="0.4">
      <c r="A90" s="18">
        <v>66</v>
      </c>
      <c r="B90" s="54" t="s">
        <v>324</v>
      </c>
      <c r="C90" s="20" t="s">
        <v>238</v>
      </c>
      <c r="D90" s="21" t="s">
        <v>239</v>
      </c>
      <c r="E90" s="21" t="s">
        <v>231</v>
      </c>
      <c r="F90" s="21" t="s">
        <v>231</v>
      </c>
      <c r="G90" s="68">
        <v>100</v>
      </c>
      <c r="H90" s="108">
        <v>45107</v>
      </c>
      <c r="I90" s="21" t="s">
        <v>301</v>
      </c>
      <c r="J90" s="23">
        <v>44.69829</v>
      </c>
      <c r="K90" s="183">
        <v>10.634130000000001</v>
      </c>
      <c r="L90" s="23"/>
      <c r="M90" s="23"/>
      <c r="N90" s="65">
        <v>69000</v>
      </c>
      <c r="O90" s="24">
        <f t="shared" si="20"/>
        <v>0</v>
      </c>
      <c r="P90" s="24">
        <v>69000</v>
      </c>
      <c r="Q90" s="24">
        <v>0</v>
      </c>
      <c r="R90" s="24"/>
      <c r="S90" s="24"/>
      <c r="T90" s="24">
        <f t="shared" si="21"/>
        <v>69000</v>
      </c>
      <c r="U90" s="24">
        <v>69000</v>
      </c>
    </row>
    <row r="91" spans="1:21" ht="25.9" customHeight="1" x14ac:dyDescent="0.4">
      <c r="A91" s="18">
        <v>67</v>
      </c>
      <c r="B91" s="54" t="s">
        <v>324</v>
      </c>
      <c r="C91" s="20" t="s">
        <v>240</v>
      </c>
      <c r="D91" s="21" t="s">
        <v>241</v>
      </c>
      <c r="E91" s="21" t="s">
        <v>231</v>
      </c>
      <c r="F91" s="21" t="s">
        <v>231</v>
      </c>
      <c r="G91" s="68">
        <v>100</v>
      </c>
      <c r="H91" s="108">
        <v>46111</v>
      </c>
      <c r="I91" s="21" t="s">
        <v>302</v>
      </c>
      <c r="J91" s="23">
        <v>44.69829</v>
      </c>
      <c r="K91" s="183">
        <v>10.634130000000001</v>
      </c>
      <c r="L91" s="23"/>
      <c r="M91" s="23"/>
      <c r="N91" s="65">
        <v>516323</v>
      </c>
      <c r="O91" s="24">
        <f t="shared" si="20"/>
        <v>0</v>
      </c>
      <c r="P91" s="24">
        <v>516323</v>
      </c>
      <c r="Q91" s="24">
        <v>0</v>
      </c>
      <c r="R91" s="24"/>
      <c r="S91" s="24"/>
      <c r="T91" s="24">
        <v>424895.5</v>
      </c>
      <c r="U91" s="24">
        <v>424895.5</v>
      </c>
    </row>
    <row r="92" spans="1:21" ht="25.9" customHeight="1" x14ac:dyDescent="0.4">
      <c r="A92" s="18">
        <v>68</v>
      </c>
      <c r="B92" s="54" t="s">
        <v>324</v>
      </c>
      <c r="C92" s="20" t="s">
        <v>242</v>
      </c>
      <c r="D92" s="21" t="s">
        <v>243</v>
      </c>
      <c r="E92" s="21" t="s">
        <v>231</v>
      </c>
      <c r="F92" s="21" t="s">
        <v>231</v>
      </c>
      <c r="G92" s="68">
        <v>100</v>
      </c>
      <c r="H92" s="108">
        <v>45777</v>
      </c>
      <c r="I92" s="21" t="s">
        <v>303</v>
      </c>
      <c r="J92" s="23">
        <v>44.69829</v>
      </c>
      <c r="K92" s="183">
        <v>10.634130000000001</v>
      </c>
      <c r="L92" s="23"/>
      <c r="M92" s="23"/>
      <c r="N92" s="65">
        <v>90000</v>
      </c>
      <c r="O92" s="24">
        <f t="shared" si="20"/>
        <v>0</v>
      </c>
      <c r="P92" s="24">
        <v>90000</v>
      </c>
      <c r="Q92" s="24">
        <v>0</v>
      </c>
      <c r="R92" s="24"/>
      <c r="S92" s="24"/>
      <c r="T92" s="24">
        <v>68621.149999999994</v>
      </c>
      <c r="U92" s="24">
        <v>68621.149999999994</v>
      </c>
    </row>
    <row r="93" spans="1:21" ht="25.9" customHeight="1" x14ac:dyDescent="0.4">
      <c r="A93" s="18">
        <v>69</v>
      </c>
      <c r="B93" s="54" t="s">
        <v>324</v>
      </c>
      <c r="C93" s="20" t="s">
        <v>244</v>
      </c>
      <c r="D93" s="21" t="s">
        <v>245</v>
      </c>
      <c r="E93" s="21" t="s">
        <v>231</v>
      </c>
      <c r="F93" s="21" t="s">
        <v>231</v>
      </c>
      <c r="G93" s="68">
        <v>100</v>
      </c>
      <c r="H93" s="108">
        <v>46022</v>
      </c>
      <c r="I93" s="21" t="s">
        <v>304</v>
      </c>
      <c r="J93" s="23">
        <v>44.69829</v>
      </c>
      <c r="K93" s="183">
        <v>10.634130000000001</v>
      </c>
      <c r="L93" s="23"/>
      <c r="M93" s="23"/>
      <c r="N93" s="65">
        <v>19642</v>
      </c>
      <c r="O93" s="24">
        <f t="shared" si="20"/>
        <v>0</v>
      </c>
      <c r="P93" s="24">
        <v>19642</v>
      </c>
      <c r="Q93" s="24">
        <v>0</v>
      </c>
      <c r="R93" s="24"/>
      <c r="S93" s="24"/>
      <c r="T93" s="24">
        <v>0</v>
      </c>
      <c r="U93" s="24">
        <v>0</v>
      </c>
    </row>
    <row r="94" spans="1:21" ht="25.9" customHeight="1" x14ac:dyDescent="0.4">
      <c r="A94" s="18">
        <v>70</v>
      </c>
      <c r="B94" s="54" t="s">
        <v>324</v>
      </c>
      <c r="C94" s="20" t="s">
        <v>246</v>
      </c>
      <c r="D94" s="21" t="s">
        <v>247</v>
      </c>
      <c r="E94" s="21" t="s">
        <v>231</v>
      </c>
      <c r="F94" s="21" t="s">
        <v>231</v>
      </c>
      <c r="G94" s="68">
        <v>100</v>
      </c>
      <c r="H94" s="108">
        <v>45657</v>
      </c>
      <c r="I94" s="21" t="s">
        <v>305</v>
      </c>
      <c r="J94" s="23">
        <v>44.69829</v>
      </c>
      <c r="K94" s="183">
        <v>10.634130000000001</v>
      </c>
      <c r="L94" s="23"/>
      <c r="M94" s="23"/>
      <c r="N94" s="65">
        <v>847074</v>
      </c>
      <c r="O94" s="24">
        <f t="shared" ref="O94:O95" si="22">N94-P94-Q94</f>
        <v>0</v>
      </c>
      <c r="P94" s="24">
        <v>847074</v>
      </c>
      <c r="Q94" s="24">
        <v>0</v>
      </c>
      <c r="R94" s="24"/>
      <c r="S94" s="24"/>
      <c r="T94" s="24">
        <v>807355.96</v>
      </c>
      <c r="U94" s="24">
        <v>807355.96</v>
      </c>
    </row>
    <row r="95" spans="1:21" ht="25.9" customHeight="1" x14ac:dyDescent="0.4">
      <c r="A95" s="18"/>
      <c r="B95" s="54" t="s">
        <v>324</v>
      </c>
      <c r="C95" s="20" t="s">
        <v>248</v>
      </c>
      <c r="D95" s="21" t="s">
        <v>249</v>
      </c>
      <c r="E95" s="21" t="s">
        <v>231</v>
      </c>
      <c r="F95" s="21" t="s">
        <v>231</v>
      </c>
      <c r="G95" s="68">
        <v>100</v>
      </c>
      <c r="H95" s="108">
        <v>45291</v>
      </c>
      <c r="I95" s="21" t="s">
        <v>306</v>
      </c>
      <c r="J95" s="23">
        <v>44.69829</v>
      </c>
      <c r="K95" s="183">
        <v>10.634130000000001</v>
      </c>
      <c r="L95" s="23"/>
      <c r="M95" s="23"/>
      <c r="N95" s="65">
        <v>203435</v>
      </c>
      <c r="O95" s="24">
        <f t="shared" si="22"/>
        <v>0</v>
      </c>
      <c r="P95" s="24">
        <v>203435</v>
      </c>
      <c r="Q95" s="24">
        <v>0</v>
      </c>
      <c r="R95" s="24"/>
      <c r="S95" s="24"/>
      <c r="T95" s="24">
        <f>P95</f>
        <v>203435</v>
      </c>
      <c r="U95" s="24">
        <v>203435</v>
      </c>
    </row>
    <row r="96" spans="1:21" ht="29.65" customHeight="1" x14ac:dyDescent="0.4">
      <c r="A96" s="18">
        <v>71</v>
      </c>
      <c r="B96" s="54" t="s">
        <v>324</v>
      </c>
      <c r="C96" s="20" t="s">
        <v>296</v>
      </c>
      <c r="D96" s="79" t="s">
        <v>250</v>
      </c>
      <c r="E96" s="21"/>
      <c r="F96" s="21" t="s">
        <v>231</v>
      </c>
      <c r="G96" s="68">
        <v>100</v>
      </c>
      <c r="H96" s="108">
        <v>46112</v>
      </c>
      <c r="I96" s="21" t="s">
        <v>307</v>
      </c>
      <c r="J96" s="23">
        <v>44.69829</v>
      </c>
      <c r="K96" s="183">
        <v>10.634130000000001</v>
      </c>
      <c r="L96" s="23"/>
      <c r="M96" s="23"/>
      <c r="N96" s="65">
        <v>73190</v>
      </c>
      <c r="O96" s="24"/>
      <c r="P96" s="24"/>
      <c r="Q96" s="24"/>
      <c r="R96" s="24"/>
      <c r="S96" s="24"/>
      <c r="T96" s="24"/>
      <c r="U96" s="24"/>
    </row>
    <row r="97" spans="1:21" ht="21.95" customHeight="1" x14ac:dyDescent="0.4">
      <c r="A97" s="18">
        <v>72</v>
      </c>
      <c r="B97" s="54" t="s">
        <v>324</v>
      </c>
      <c r="C97" s="20" t="s">
        <v>251</v>
      </c>
      <c r="D97" s="79" t="s">
        <v>252</v>
      </c>
      <c r="E97" s="21" t="s">
        <v>231</v>
      </c>
      <c r="F97" s="21" t="s">
        <v>231</v>
      </c>
      <c r="G97" s="68">
        <v>100</v>
      </c>
      <c r="H97" s="108">
        <v>46022</v>
      </c>
      <c r="I97" s="21" t="s">
        <v>308</v>
      </c>
      <c r="J97" s="23">
        <v>44.69829</v>
      </c>
      <c r="K97" s="183">
        <v>10.634130000000001</v>
      </c>
      <c r="L97" s="23"/>
      <c r="M97" s="23"/>
      <c r="N97" s="65">
        <v>478240</v>
      </c>
      <c r="O97" s="24">
        <f t="shared" ref="O97:O99" si="23">N97-P97-Q97</f>
        <v>0</v>
      </c>
      <c r="P97" s="24">
        <v>478240</v>
      </c>
      <c r="Q97" s="24">
        <v>0</v>
      </c>
      <c r="R97" s="24"/>
      <c r="S97" s="24"/>
      <c r="T97" s="24">
        <v>339870.14</v>
      </c>
      <c r="U97" s="24">
        <v>339870.14</v>
      </c>
    </row>
    <row r="98" spans="1:21" ht="34.5" x14ac:dyDescent="0.4">
      <c r="A98" s="18">
        <v>73</v>
      </c>
      <c r="B98" s="54" t="s">
        <v>324</v>
      </c>
      <c r="C98" s="20" t="s">
        <v>253</v>
      </c>
      <c r="D98" s="79" t="s">
        <v>254</v>
      </c>
      <c r="E98" s="21" t="s">
        <v>255</v>
      </c>
      <c r="F98" s="21" t="s">
        <v>255</v>
      </c>
      <c r="G98" s="68">
        <v>100</v>
      </c>
      <c r="H98" s="108">
        <v>46142</v>
      </c>
      <c r="I98" s="21" t="s">
        <v>522</v>
      </c>
      <c r="J98" s="42"/>
      <c r="K98" s="187"/>
      <c r="L98" s="42"/>
      <c r="M98" s="42"/>
      <c r="N98" s="65">
        <v>227500</v>
      </c>
      <c r="O98" s="24">
        <f t="shared" si="23"/>
        <v>0</v>
      </c>
      <c r="P98" s="24">
        <v>227500</v>
      </c>
      <c r="Q98" s="24">
        <v>0</v>
      </c>
      <c r="R98" s="24"/>
      <c r="S98" s="24"/>
      <c r="T98" s="24">
        <v>227500</v>
      </c>
      <c r="U98" s="24">
        <v>227500</v>
      </c>
    </row>
    <row r="99" spans="1:21" ht="26.85" customHeight="1" x14ac:dyDescent="0.4">
      <c r="A99" s="18">
        <v>74</v>
      </c>
      <c r="B99" s="54" t="s">
        <v>324</v>
      </c>
      <c r="C99" s="20" t="s">
        <v>256</v>
      </c>
      <c r="D99" s="79" t="s">
        <v>257</v>
      </c>
      <c r="E99" s="21" t="s">
        <v>231</v>
      </c>
      <c r="F99" s="21" t="s">
        <v>231</v>
      </c>
      <c r="G99" s="68">
        <v>100</v>
      </c>
      <c r="H99" s="108">
        <v>45961</v>
      </c>
      <c r="I99" s="21" t="s">
        <v>309</v>
      </c>
      <c r="J99" s="23">
        <v>44.69829</v>
      </c>
      <c r="K99" s="183">
        <v>10.634130000000001</v>
      </c>
      <c r="L99" s="23"/>
      <c r="M99" s="23"/>
      <c r="N99" s="65">
        <v>54482.39</v>
      </c>
      <c r="O99" s="24">
        <f t="shared" si="23"/>
        <v>0</v>
      </c>
      <c r="P99" s="24">
        <v>54482.39</v>
      </c>
      <c r="Q99" s="24">
        <v>0</v>
      </c>
      <c r="R99" s="24"/>
      <c r="S99" s="24"/>
      <c r="T99" s="24">
        <v>0</v>
      </c>
      <c r="U99" s="24">
        <v>0</v>
      </c>
    </row>
    <row r="100" spans="1:21" ht="26.85" customHeight="1" x14ac:dyDescent="0.4">
      <c r="A100" s="18">
        <v>75</v>
      </c>
      <c r="B100" s="54" t="s">
        <v>324</v>
      </c>
      <c r="C100" s="20" t="s">
        <v>258</v>
      </c>
      <c r="D100" s="79" t="s">
        <v>294</v>
      </c>
      <c r="E100" s="21"/>
      <c r="F100" s="21" t="s">
        <v>231</v>
      </c>
      <c r="G100" s="178">
        <v>0.4</v>
      </c>
      <c r="H100" s="177">
        <v>46387</v>
      </c>
      <c r="I100" s="21" t="s">
        <v>310</v>
      </c>
      <c r="J100" s="23">
        <v>44.69829</v>
      </c>
      <c r="K100" s="183">
        <v>10.634130000000001</v>
      </c>
      <c r="L100" s="23"/>
      <c r="M100" s="23"/>
      <c r="N100" s="65">
        <v>15927</v>
      </c>
      <c r="O100" s="24"/>
      <c r="P100" s="24"/>
      <c r="Q100" s="24"/>
      <c r="R100" s="24"/>
      <c r="S100" s="24"/>
      <c r="T100" s="24"/>
      <c r="U100" s="24"/>
    </row>
    <row r="101" spans="1:21" ht="26.85" customHeight="1" x14ac:dyDescent="0.4">
      <c r="A101" s="18">
        <v>76</v>
      </c>
      <c r="B101" s="54" t="s">
        <v>324</v>
      </c>
      <c r="C101" s="20" t="s">
        <v>259</v>
      </c>
      <c r="D101" s="79" t="s">
        <v>293</v>
      </c>
      <c r="E101" s="21"/>
      <c r="F101" s="21" t="s">
        <v>231</v>
      </c>
      <c r="G101" s="178">
        <v>0.4</v>
      </c>
      <c r="H101" s="177">
        <v>46387</v>
      </c>
      <c r="I101" s="21" t="s">
        <v>311</v>
      </c>
      <c r="J101" s="23">
        <v>44.69829</v>
      </c>
      <c r="K101" s="183">
        <v>10.634130000000001</v>
      </c>
      <c r="L101" s="23"/>
      <c r="M101" s="23"/>
      <c r="N101" s="65">
        <v>13253</v>
      </c>
      <c r="O101" s="24"/>
      <c r="P101" s="24"/>
      <c r="Q101" s="24"/>
      <c r="R101" s="24"/>
      <c r="S101" s="24"/>
      <c r="T101" s="24"/>
      <c r="U101" s="24"/>
    </row>
    <row r="102" spans="1:21" ht="26.85" customHeight="1" x14ac:dyDescent="0.4">
      <c r="A102" s="18">
        <v>77</v>
      </c>
      <c r="B102" s="54" t="s">
        <v>324</v>
      </c>
      <c r="C102" s="20" t="s">
        <v>260</v>
      </c>
      <c r="D102" s="79" t="s">
        <v>292</v>
      </c>
      <c r="E102" s="21"/>
      <c r="F102" s="21" t="s">
        <v>231</v>
      </c>
      <c r="G102" s="180">
        <v>1</v>
      </c>
      <c r="H102" s="177">
        <v>46112</v>
      </c>
      <c r="I102" s="21" t="s">
        <v>312</v>
      </c>
      <c r="J102" s="23">
        <v>44.69829</v>
      </c>
      <c r="K102" s="183">
        <v>10.634130000000001</v>
      </c>
      <c r="L102" s="23"/>
      <c r="M102" s="23"/>
      <c r="N102" s="65">
        <v>64239</v>
      </c>
      <c r="O102" s="24"/>
      <c r="P102" s="24"/>
      <c r="Q102" s="24"/>
      <c r="R102" s="24"/>
      <c r="S102" s="24"/>
      <c r="T102" s="24"/>
      <c r="U102" s="24"/>
    </row>
    <row r="103" spans="1:21" ht="26.85" customHeight="1" x14ac:dyDescent="0.4">
      <c r="A103" s="18">
        <v>78</v>
      </c>
      <c r="B103" s="54" t="s">
        <v>324</v>
      </c>
      <c r="C103" s="20" t="s">
        <v>291</v>
      </c>
      <c r="D103" s="79" t="s">
        <v>295</v>
      </c>
      <c r="E103" s="21"/>
      <c r="F103" s="21" t="s">
        <v>231</v>
      </c>
      <c r="G103" s="180">
        <v>1</v>
      </c>
      <c r="H103" s="177">
        <v>46230</v>
      </c>
      <c r="I103" s="21" t="s">
        <v>313</v>
      </c>
      <c r="J103" s="23">
        <v>44.69829</v>
      </c>
      <c r="K103" s="183">
        <v>10.634130000000001</v>
      </c>
      <c r="L103" s="23"/>
      <c r="M103" s="23"/>
      <c r="N103" s="65">
        <v>128832</v>
      </c>
      <c r="O103" s="24"/>
      <c r="P103" s="24"/>
      <c r="Q103" s="24"/>
      <c r="R103" s="24"/>
      <c r="S103" s="24"/>
      <c r="T103" s="24"/>
      <c r="U103" s="24"/>
    </row>
    <row r="104" spans="1:21" ht="28.7" customHeight="1" x14ac:dyDescent="0.4">
      <c r="A104" s="103">
        <v>80</v>
      </c>
      <c r="B104" s="147" t="s">
        <v>324</v>
      </c>
      <c r="C104" s="105" t="s">
        <v>261</v>
      </c>
      <c r="D104" s="109" t="s">
        <v>262</v>
      </c>
      <c r="E104" s="109" t="s">
        <v>231</v>
      </c>
      <c r="F104" s="109" t="s">
        <v>231</v>
      </c>
      <c r="G104" s="133">
        <v>100</v>
      </c>
      <c r="H104" s="108">
        <v>46035</v>
      </c>
      <c r="I104" s="21" t="s">
        <v>523</v>
      </c>
      <c r="J104" s="110">
        <v>44.69829</v>
      </c>
      <c r="K104" s="188">
        <v>10.634130000000001</v>
      </c>
      <c r="L104" s="23"/>
      <c r="M104" s="23"/>
      <c r="N104" s="203">
        <v>53011.01</v>
      </c>
      <c r="O104" s="135">
        <f>N104-P104-Q104</f>
        <v>0</v>
      </c>
      <c r="P104" s="135">
        <v>53011.01</v>
      </c>
      <c r="Q104" s="135">
        <v>0</v>
      </c>
      <c r="R104" s="135"/>
      <c r="S104" s="135"/>
      <c r="T104" s="135">
        <v>0</v>
      </c>
      <c r="U104" s="135">
        <v>0</v>
      </c>
    </row>
    <row r="105" spans="1:21" ht="28.7" customHeight="1" x14ac:dyDescent="0.4">
      <c r="A105" s="97"/>
      <c r="B105" s="117" t="s">
        <v>62</v>
      </c>
      <c r="C105" s="117"/>
      <c r="D105" s="117"/>
      <c r="E105" s="117"/>
      <c r="F105" s="117"/>
      <c r="G105" s="130"/>
      <c r="H105" s="146"/>
      <c r="I105" s="50"/>
      <c r="J105" s="101"/>
      <c r="K105" s="189"/>
      <c r="L105" s="100"/>
      <c r="M105" s="100"/>
      <c r="N105" s="67">
        <f>SUM(N86:N104)</f>
        <v>3015128.4</v>
      </c>
      <c r="O105" s="37">
        <f>N105-P105-Q105</f>
        <v>295441</v>
      </c>
      <c r="P105" s="37">
        <f>SUM(P86:P104)</f>
        <v>2719687.4</v>
      </c>
      <c r="Q105" s="37">
        <f>SUM(Q86:Q104)</f>
        <v>0</v>
      </c>
      <c r="R105" s="36"/>
      <c r="S105" s="36"/>
      <c r="T105" s="36">
        <f>SUM(T86:T104)</f>
        <v>2301657.75</v>
      </c>
      <c r="U105" s="36">
        <f>SUM(U86:U104)</f>
        <v>2301657.75</v>
      </c>
    </row>
    <row r="106" spans="1:21" ht="28.7" customHeight="1" x14ac:dyDescent="0.4">
      <c r="A106" s="136"/>
      <c r="B106" s="142" t="s">
        <v>330</v>
      </c>
      <c r="C106" s="142"/>
      <c r="D106" s="142"/>
      <c r="E106" s="142"/>
      <c r="F106" s="142"/>
      <c r="G106" s="143"/>
      <c r="H106" s="144"/>
      <c r="I106" s="142"/>
      <c r="J106" s="145"/>
      <c r="K106" s="190"/>
      <c r="L106" s="38"/>
      <c r="M106" s="38"/>
      <c r="N106" s="204"/>
      <c r="O106" s="145"/>
      <c r="P106" s="145"/>
      <c r="Q106" s="145"/>
      <c r="R106" s="145"/>
      <c r="S106" s="145"/>
      <c r="T106" s="145"/>
      <c r="U106" s="145"/>
    </row>
    <row r="107" spans="1:21" s="2" customFormat="1" ht="27.4" customHeight="1" x14ac:dyDescent="0.4">
      <c r="A107" s="103">
        <v>81</v>
      </c>
      <c r="B107" s="141" t="s">
        <v>323</v>
      </c>
      <c r="C107" s="105" t="s">
        <v>263</v>
      </c>
      <c r="D107" s="109" t="s">
        <v>264</v>
      </c>
      <c r="E107" s="103" t="s">
        <v>265</v>
      </c>
      <c r="F107" s="109" t="s">
        <v>266</v>
      </c>
      <c r="G107" s="133">
        <v>100</v>
      </c>
      <c r="H107" s="108">
        <v>46203</v>
      </c>
      <c r="I107" s="134" t="s">
        <v>267</v>
      </c>
      <c r="J107" s="110">
        <v>44.704500000000003</v>
      </c>
      <c r="K107" s="188">
        <v>10.65982</v>
      </c>
      <c r="L107" s="23"/>
      <c r="M107" s="23"/>
      <c r="N107" s="203">
        <v>8027620</v>
      </c>
      <c r="O107" s="135">
        <v>0</v>
      </c>
      <c r="P107" s="135">
        <v>8027620</v>
      </c>
      <c r="Q107" s="135">
        <v>0</v>
      </c>
      <c r="R107" s="135"/>
      <c r="S107" s="135"/>
      <c r="T107" s="135">
        <v>8009705.79</v>
      </c>
      <c r="U107" s="135">
        <v>8009705.79</v>
      </c>
    </row>
    <row r="108" spans="1:21" s="2" customFormat="1" ht="27.4" customHeight="1" x14ac:dyDescent="0.4">
      <c r="A108" s="97"/>
      <c r="B108" s="117" t="s">
        <v>62</v>
      </c>
      <c r="C108" s="117"/>
      <c r="D108" s="117"/>
      <c r="E108" s="117"/>
      <c r="F108" s="117"/>
      <c r="G108" s="130"/>
      <c r="H108" s="99"/>
      <c r="I108" s="131"/>
      <c r="J108" s="101"/>
      <c r="K108" s="189"/>
      <c r="L108" s="100"/>
      <c r="M108" s="100"/>
      <c r="N108" s="67">
        <f>SUM(N107:N107)</f>
        <v>8027620</v>
      </c>
      <c r="O108" s="37">
        <f>N108-P108-Q108</f>
        <v>0</v>
      </c>
      <c r="P108" s="37">
        <f>SUM(P107:P107)</f>
        <v>8027620</v>
      </c>
      <c r="Q108" s="37">
        <f>SUM(Q107:Q107)</f>
        <v>0</v>
      </c>
      <c r="R108" s="36"/>
      <c r="S108" s="36"/>
      <c r="T108" s="36">
        <f>SUM(T107:T107)</f>
        <v>8009705.79</v>
      </c>
      <c r="U108" s="36">
        <f>SUM(U107:U107)</f>
        <v>8009705.79</v>
      </c>
    </row>
    <row r="109" spans="1:21" s="2" customFormat="1" ht="27.4" customHeight="1" x14ac:dyDescent="0.4">
      <c r="A109" s="136"/>
      <c r="B109" s="142" t="s">
        <v>331</v>
      </c>
      <c r="C109" s="142"/>
      <c r="D109" s="142"/>
      <c r="E109" s="142"/>
      <c r="F109" s="142"/>
      <c r="G109" s="143"/>
      <c r="H109" s="144"/>
      <c r="I109" s="142"/>
      <c r="J109" s="145"/>
      <c r="K109" s="190"/>
      <c r="L109" s="38"/>
      <c r="M109" s="38"/>
      <c r="N109" s="204"/>
      <c r="O109" s="145"/>
      <c r="P109" s="145"/>
      <c r="Q109" s="145"/>
      <c r="R109" s="145"/>
      <c r="S109" s="145"/>
      <c r="T109" s="145"/>
      <c r="U109" s="145"/>
    </row>
    <row r="110" spans="1:21" s="2" customFormat="1" ht="27.4" customHeight="1" x14ac:dyDescent="0.4">
      <c r="A110" s="103">
        <v>82</v>
      </c>
      <c r="B110" s="132" t="s">
        <v>316</v>
      </c>
      <c r="C110" s="105" t="s">
        <v>268</v>
      </c>
      <c r="D110" s="109" t="s">
        <v>269</v>
      </c>
      <c r="E110" s="103" t="s">
        <v>270</v>
      </c>
      <c r="F110" s="109" t="s">
        <v>271</v>
      </c>
      <c r="G110" s="133">
        <v>100</v>
      </c>
      <c r="H110" s="108">
        <v>46203</v>
      </c>
      <c r="I110" s="134" t="s">
        <v>272</v>
      </c>
      <c r="J110" s="110">
        <v>44.6995</v>
      </c>
      <c r="K110" s="188">
        <v>10.6426</v>
      </c>
      <c r="L110" s="23"/>
      <c r="M110" s="23"/>
      <c r="N110" s="203">
        <v>11900000</v>
      </c>
      <c r="O110" s="135">
        <v>7900000</v>
      </c>
      <c r="P110" s="135">
        <v>4000000</v>
      </c>
      <c r="Q110" s="135">
        <v>0</v>
      </c>
      <c r="R110" s="135"/>
      <c r="S110" s="135"/>
      <c r="T110" s="135">
        <v>1056681.8999999999</v>
      </c>
      <c r="U110" s="135"/>
    </row>
    <row r="111" spans="1:21" s="2" customFormat="1" ht="27.4" customHeight="1" x14ac:dyDescent="0.4">
      <c r="A111" s="97"/>
      <c r="B111" s="117" t="s">
        <v>62</v>
      </c>
      <c r="C111" s="117"/>
      <c r="D111" s="117"/>
      <c r="E111" s="117"/>
      <c r="F111" s="117"/>
      <c r="G111" s="130"/>
      <c r="H111" s="99"/>
      <c r="I111" s="131"/>
      <c r="J111" s="101"/>
      <c r="K111" s="189"/>
      <c r="L111" s="100"/>
      <c r="M111" s="100"/>
      <c r="N111" s="67">
        <f>SUM(N110:N110)</f>
        <v>11900000</v>
      </c>
      <c r="O111" s="37">
        <f>N111-P111-Q111</f>
        <v>7900000</v>
      </c>
      <c r="P111" s="37">
        <f>SUM(P110:P110)</f>
        <v>4000000</v>
      </c>
      <c r="Q111" s="37">
        <f>SUM(Q110:Q110)</f>
        <v>0</v>
      </c>
      <c r="R111" s="36"/>
      <c r="S111" s="36"/>
      <c r="T111" s="36">
        <f>SUM(T110:T110)</f>
        <v>1056681.8999999999</v>
      </c>
      <c r="U111" s="36">
        <f>SUM(U110:U110)</f>
        <v>0</v>
      </c>
    </row>
    <row r="112" spans="1:21" s="2" customFormat="1" ht="27.4" customHeight="1" x14ac:dyDescent="0.4">
      <c r="A112" s="136"/>
      <c r="B112" s="115"/>
      <c r="C112" s="115"/>
      <c r="D112" s="115"/>
      <c r="E112" s="136"/>
      <c r="F112" s="136"/>
      <c r="G112" s="137"/>
      <c r="H112" s="138"/>
      <c r="I112" s="136"/>
      <c r="J112" s="139"/>
      <c r="K112" s="192"/>
      <c r="L112" s="55"/>
      <c r="M112" s="55"/>
      <c r="N112" s="205"/>
      <c r="O112" s="140"/>
      <c r="P112" s="140"/>
      <c r="Q112" s="140"/>
      <c r="R112" s="140"/>
      <c r="S112" s="140"/>
      <c r="T112" s="140"/>
      <c r="U112" s="140"/>
    </row>
    <row r="113" spans="1:1038" s="3" customFormat="1" ht="27.4" customHeight="1" x14ac:dyDescent="0.2">
      <c r="A113" s="93"/>
      <c r="B113" s="56" t="s">
        <v>333</v>
      </c>
      <c r="C113" s="56"/>
      <c r="D113" s="56"/>
      <c r="E113" s="56"/>
      <c r="F113" s="56"/>
      <c r="G113" s="76"/>
      <c r="H113" s="77"/>
      <c r="I113" s="56"/>
      <c r="J113" s="57"/>
      <c r="K113" s="193"/>
      <c r="L113" s="181"/>
      <c r="M113" s="181"/>
      <c r="N113" s="206"/>
      <c r="O113" s="57"/>
      <c r="P113" s="57"/>
      <c r="Q113" s="57"/>
      <c r="R113" s="57"/>
      <c r="S113" s="57"/>
      <c r="T113" s="57"/>
      <c r="U113" s="57"/>
      <c r="V113" s="87"/>
      <c r="W113" s="87"/>
      <c r="X113" s="87"/>
      <c r="Y113" s="87"/>
      <c r="Z113" s="87"/>
      <c r="AA113" s="87"/>
      <c r="AB113" s="87"/>
      <c r="AC113" s="87"/>
      <c r="AD113" s="87"/>
      <c r="AE113" s="87"/>
      <c r="AF113" s="87"/>
      <c r="AG113" s="87"/>
      <c r="AH113" s="87"/>
      <c r="AI113" s="87"/>
      <c r="AJ113" s="87"/>
      <c r="AK113" s="87"/>
      <c r="AL113" s="87"/>
      <c r="AM113" s="87"/>
      <c r="AN113" s="87"/>
      <c r="AO113" s="87"/>
      <c r="AP113" s="87"/>
      <c r="AQ113" s="87"/>
      <c r="AR113" s="87"/>
      <c r="AS113" s="87"/>
      <c r="AT113" s="87"/>
      <c r="AU113" s="87"/>
      <c r="AV113" s="87"/>
      <c r="AW113" s="87"/>
      <c r="AX113" s="87"/>
      <c r="AY113" s="87"/>
      <c r="AZ113" s="87"/>
      <c r="BA113" s="87"/>
      <c r="BB113" s="87"/>
      <c r="BC113" s="87"/>
      <c r="BD113" s="87"/>
      <c r="BE113" s="87"/>
      <c r="BF113" s="87"/>
      <c r="BG113" s="87"/>
      <c r="BH113" s="87"/>
      <c r="BI113" s="87"/>
      <c r="BJ113" s="87"/>
      <c r="BK113" s="87"/>
      <c r="BL113" s="87"/>
      <c r="BM113" s="87"/>
      <c r="BN113" s="87"/>
      <c r="BO113" s="87"/>
      <c r="BP113" s="87"/>
      <c r="BQ113" s="87"/>
      <c r="BR113" s="87"/>
      <c r="BS113" s="87"/>
      <c r="BT113" s="87"/>
      <c r="BU113" s="87"/>
      <c r="BV113" s="87"/>
      <c r="BW113" s="87"/>
      <c r="BX113" s="87"/>
      <c r="BY113" s="87"/>
      <c r="BZ113" s="87"/>
      <c r="CA113" s="87"/>
      <c r="CB113" s="87"/>
      <c r="CC113" s="87"/>
      <c r="CD113" s="87"/>
      <c r="CE113" s="87"/>
      <c r="CF113" s="87"/>
      <c r="CG113" s="87"/>
      <c r="CH113" s="87"/>
      <c r="CI113" s="87"/>
      <c r="CJ113" s="87"/>
      <c r="CK113" s="87"/>
      <c r="CL113" s="87"/>
      <c r="CM113" s="87"/>
      <c r="CN113" s="87"/>
      <c r="CO113" s="87"/>
      <c r="CP113" s="87"/>
      <c r="CQ113" s="87"/>
      <c r="CR113" s="87"/>
      <c r="CS113" s="87"/>
      <c r="CT113" s="87"/>
      <c r="CU113" s="87"/>
      <c r="CV113" s="87"/>
      <c r="CW113" s="87"/>
      <c r="CX113" s="87"/>
      <c r="CY113" s="87"/>
      <c r="CZ113" s="87"/>
      <c r="DA113" s="87"/>
      <c r="DB113" s="87"/>
      <c r="DC113" s="87"/>
      <c r="DD113" s="87"/>
      <c r="DE113" s="87"/>
      <c r="DF113" s="87"/>
      <c r="DG113" s="87"/>
      <c r="DH113" s="87"/>
      <c r="DI113" s="87"/>
      <c r="DJ113" s="87"/>
      <c r="DK113" s="87"/>
      <c r="DL113" s="87"/>
      <c r="DM113" s="87"/>
      <c r="DN113" s="87"/>
      <c r="DO113" s="87"/>
      <c r="DP113" s="87"/>
      <c r="DQ113" s="87"/>
      <c r="DR113" s="87"/>
      <c r="DS113" s="87"/>
      <c r="DT113" s="87"/>
      <c r="DU113" s="87"/>
      <c r="DV113" s="87"/>
      <c r="DW113" s="87"/>
      <c r="DX113" s="87"/>
      <c r="DY113" s="87"/>
      <c r="DZ113" s="87"/>
      <c r="EA113" s="87"/>
      <c r="EB113" s="87"/>
      <c r="EC113" s="87"/>
      <c r="ED113" s="87"/>
      <c r="EE113" s="87"/>
      <c r="EF113" s="87"/>
      <c r="EG113" s="87"/>
      <c r="EH113" s="87"/>
      <c r="EI113" s="87"/>
      <c r="EJ113" s="87"/>
      <c r="EK113" s="87"/>
      <c r="EL113" s="87"/>
      <c r="EM113" s="87"/>
      <c r="EN113" s="87"/>
      <c r="EO113" s="87"/>
      <c r="EP113" s="87"/>
      <c r="EQ113" s="87"/>
      <c r="ER113" s="87"/>
      <c r="ES113" s="87"/>
      <c r="ET113" s="87"/>
      <c r="EU113" s="87"/>
      <c r="EV113" s="87"/>
      <c r="EW113" s="87"/>
      <c r="EX113" s="87"/>
      <c r="EY113" s="87"/>
      <c r="EZ113" s="87"/>
      <c r="FA113" s="87"/>
      <c r="FB113" s="87"/>
      <c r="FC113" s="87"/>
      <c r="FD113" s="87"/>
      <c r="FE113" s="87"/>
      <c r="FF113" s="87"/>
      <c r="FG113" s="87"/>
      <c r="FH113" s="87"/>
      <c r="FI113" s="87"/>
      <c r="FJ113" s="87"/>
      <c r="FK113" s="87"/>
      <c r="FL113" s="87"/>
      <c r="FM113" s="87"/>
      <c r="FN113" s="87"/>
      <c r="FO113" s="87"/>
      <c r="FP113" s="87"/>
      <c r="FQ113" s="87"/>
      <c r="FR113" s="87"/>
      <c r="FS113" s="87"/>
      <c r="FT113" s="87"/>
      <c r="FU113" s="87"/>
      <c r="FV113" s="87"/>
      <c r="FW113" s="87"/>
      <c r="FX113" s="87"/>
      <c r="FY113" s="87"/>
      <c r="FZ113" s="87"/>
      <c r="GA113" s="87"/>
      <c r="GB113" s="87"/>
      <c r="GC113" s="87"/>
      <c r="GD113" s="87"/>
      <c r="GE113" s="87"/>
      <c r="GF113" s="87"/>
      <c r="GG113" s="87"/>
      <c r="GH113" s="87"/>
      <c r="GI113" s="87"/>
      <c r="GJ113" s="87"/>
      <c r="GK113" s="87"/>
      <c r="GL113" s="87"/>
      <c r="GM113" s="87"/>
      <c r="GN113" s="87"/>
      <c r="GO113" s="87"/>
      <c r="GP113" s="87"/>
      <c r="GQ113" s="87"/>
      <c r="GR113" s="87"/>
      <c r="GS113" s="87"/>
      <c r="GT113" s="87"/>
      <c r="GU113" s="87"/>
      <c r="GV113" s="87"/>
      <c r="GW113" s="87"/>
      <c r="GX113" s="87"/>
      <c r="GY113" s="87"/>
      <c r="GZ113" s="87"/>
      <c r="HA113" s="87"/>
      <c r="HB113" s="87"/>
      <c r="HC113" s="87"/>
      <c r="HD113" s="87"/>
      <c r="HE113" s="87"/>
      <c r="HF113" s="87"/>
      <c r="HG113" s="87"/>
      <c r="HH113" s="87"/>
      <c r="HI113" s="87"/>
      <c r="HJ113" s="87"/>
      <c r="HK113" s="87"/>
      <c r="HL113" s="87"/>
      <c r="HM113" s="87"/>
      <c r="HN113" s="87"/>
      <c r="HO113" s="87"/>
      <c r="HP113" s="87"/>
      <c r="HQ113" s="87"/>
      <c r="HR113" s="87"/>
      <c r="HS113" s="87"/>
      <c r="HT113" s="87"/>
      <c r="HU113" s="87"/>
      <c r="HV113" s="87"/>
      <c r="HW113" s="87"/>
      <c r="HX113" s="87"/>
      <c r="HY113" s="87"/>
      <c r="HZ113" s="87"/>
      <c r="IA113" s="87"/>
      <c r="IB113" s="87"/>
      <c r="IC113" s="87"/>
      <c r="ID113" s="87"/>
      <c r="IE113" s="87"/>
      <c r="IF113" s="87"/>
      <c r="IG113" s="87"/>
      <c r="IH113" s="87"/>
      <c r="II113" s="87"/>
      <c r="IJ113" s="87"/>
      <c r="IK113" s="87"/>
      <c r="IL113" s="87"/>
      <c r="IM113" s="87"/>
      <c r="IN113" s="87"/>
      <c r="IO113" s="87"/>
      <c r="IP113" s="87"/>
      <c r="IQ113" s="87"/>
      <c r="IR113" s="87"/>
      <c r="IS113" s="87"/>
      <c r="IT113" s="87"/>
      <c r="IU113" s="87"/>
      <c r="IV113" s="87"/>
      <c r="IW113" s="87"/>
      <c r="IX113" s="87"/>
      <c r="IY113" s="87"/>
      <c r="IZ113" s="87"/>
      <c r="JA113" s="87"/>
      <c r="JB113" s="87"/>
      <c r="JC113" s="87"/>
      <c r="JD113" s="87"/>
      <c r="JE113" s="87"/>
      <c r="JF113" s="87"/>
      <c r="JG113" s="87"/>
      <c r="JH113" s="87"/>
      <c r="JI113" s="87"/>
      <c r="JJ113" s="87"/>
      <c r="JK113" s="87"/>
      <c r="JL113" s="87"/>
      <c r="JM113" s="87"/>
      <c r="JN113" s="87"/>
      <c r="JO113" s="87"/>
      <c r="JP113" s="87"/>
      <c r="JQ113" s="87"/>
      <c r="JR113" s="87"/>
      <c r="JS113" s="87"/>
      <c r="JT113" s="87"/>
      <c r="JU113" s="87"/>
      <c r="JV113" s="87"/>
      <c r="JW113" s="87"/>
      <c r="JX113" s="87"/>
      <c r="JY113" s="87"/>
      <c r="JZ113" s="87"/>
      <c r="KA113" s="87"/>
      <c r="KB113" s="87"/>
      <c r="KC113" s="87"/>
      <c r="KD113" s="87"/>
      <c r="KE113" s="87"/>
      <c r="KF113" s="87"/>
      <c r="KG113" s="87"/>
      <c r="KH113" s="87"/>
      <c r="KI113" s="87"/>
      <c r="KJ113" s="87"/>
      <c r="KK113" s="87"/>
      <c r="KL113" s="87"/>
      <c r="KM113" s="87"/>
      <c r="KN113" s="87"/>
      <c r="KO113" s="87"/>
      <c r="KP113" s="87"/>
      <c r="KQ113" s="87"/>
      <c r="KR113" s="87"/>
      <c r="KS113" s="87"/>
      <c r="KT113" s="87"/>
      <c r="KU113" s="87"/>
      <c r="KV113" s="87"/>
      <c r="KW113" s="87"/>
      <c r="KX113" s="87"/>
      <c r="KY113" s="87"/>
      <c r="KZ113" s="87"/>
      <c r="LA113" s="87"/>
      <c r="LB113" s="87"/>
      <c r="LC113" s="87"/>
      <c r="LD113" s="87"/>
      <c r="LE113" s="87"/>
      <c r="LF113" s="87"/>
      <c r="LG113" s="87"/>
      <c r="LH113" s="87"/>
      <c r="LI113" s="87"/>
      <c r="LJ113" s="87"/>
      <c r="LK113" s="87"/>
      <c r="LL113" s="87"/>
      <c r="LM113" s="87"/>
      <c r="LN113" s="87"/>
      <c r="LO113" s="87"/>
      <c r="LP113" s="87"/>
      <c r="LQ113" s="87"/>
      <c r="LR113" s="87"/>
      <c r="LS113" s="87"/>
      <c r="LT113" s="87"/>
      <c r="LU113" s="87"/>
      <c r="LV113" s="87"/>
      <c r="LW113" s="87"/>
      <c r="LX113" s="87"/>
      <c r="LY113" s="87"/>
      <c r="LZ113" s="87"/>
      <c r="MA113" s="87"/>
      <c r="MB113" s="87"/>
      <c r="MC113" s="87"/>
      <c r="MD113" s="87"/>
      <c r="ME113" s="87"/>
      <c r="MF113" s="87"/>
      <c r="MG113" s="87"/>
      <c r="MH113" s="87"/>
      <c r="MI113" s="87"/>
      <c r="MJ113" s="87"/>
      <c r="MK113" s="87"/>
      <c r="ML113" s="87"/>
      <c r="MM113" s="87"/>
      <c r="MN113" s="87"/>
      <c r="MO113" s="87"/>
      <c r="MP113" s="87"/>
      <c r="MQ113" s="87"/>
      <c r="MR113" s="87"/>
      <c r="MS113" s="87"/>
      <c r="MT113" s="87"/>
      <c r="MU113" s="87"/>
      <c r="MV113" s="87"/>
      <c r="MW113" s="87"/>
      <c r="MX113" s="87"/>
      <c r="MY113" s="87"/>
      <c r="MZ113" s="87"/>
      <c r="NA113" s="87"/>
      <c r="NB113" s="87"/>
      <c r="NC113" s="87"/>
      <c r="ND113" s="87"/>
      <c r="NE113" s="87"/>
      <c r="NF113" s="87"/>
      <c r="NG113" s="87"/>
      <c r="NH113" s="87"/>
      <c r="NI113" s="87"/>
      <c r="NJ113" s="87"/>
      <c r="NK113" s="87"/>
      <c r="NL113" s="87"/>
      <c r="NM113" s="87"/>
      <c r="NN113" s="87"/>
      <c r="NO113" s="87"/>
      <c r="NP113" s="87"/>
      <c r="NQ113" s="87"/>
      <c r="NR113" s="87"/>
      <c r="NS113" s="87"/>
      <c r="NT113" s="87"/>
      <c r="NU113" s="87"/>
      <c r="NV113" s="87"/>
      <c r="NW113" s="87"/>
      <c r="NX113" s="87"/>
      <c r="NY113" s="87"/>
      <c r="NZ113" s="87"/>
      <c r="OA113" s="87"/>
      <c r="OB113" s="87"/>
      <c r="OC113" s="87"/>
      <c r="OD113" s="87"/>
      <c r="OE113" s="87"/>
      <c r="OF113" s="87"/>
      <c r="OG113" s="87"/>
      <c r="OH113" s="87"/>
      <c r="OI113" s="87"/>
      <c r="OJ113" s="87"/>
      <c r="OK113" s="87"/>
      <c r="OL113" s="87"/>
      <c r="OM113" s="87"/>
      <c r="ON113" s="87"/>
      <c r="OO113" s="87"/>
      <c r="OP113" s="87"/>
      <c r="OQ113" s="87"/>
      <c r="OR113" s="87"/>
      <c r="OS113" s="87"/>
      <c r="OT113" s="87"/>
      <c r="OU113" s="87"/>
      <c r="OV113" s="87"/>
      <c r="OW113" s="87"/>
      <c r="OX113" s="87"/>
      <c r="OY113" s="87"/>
      <c r="OZ113" s="87"/>
      <c r="PA113" s="87"/>
      <c r="PB113" s="87"/>
      <c r="PC113" s="87"/>
      <c r="PD113" s="87"/>
      <c r="PE113" s="87"/>
      <c r="PF113" s="87"/>
      <c r="PG113" s="87"/>
      <c r="PH113" s="87"/>
      <c r="PI113" s="87"/>
      <c r="PJ113" s="87"/>
      <c r="PK113" s="87"/>
      <c r="PL113" s="87"/>
      <c r="PM113" s="87"/>
      <c r="PN113" s="87"/>
      <c r="PO113" s="87"/>
      <c r="PP113" s="87"/>
      <c r="PQ113" s="87"/>
      <c r="PR113" s="87"/>
      <c r="PS113" s="87"/>
      <c r="PT113" s="87"/>
      <c r="PU113" s="87"/>
      <c r="PV113" s="87"/>
      <c r="PW113" s="87"/>
      <c r="PX113" s="87"/>
      <c r="PY113" s="87"/>
      <c r="PZ113" s="87"/>
      <c r="QA113" s="87"/>
      <c r="QB113" s="87"/>
      <c r="QC113" s="87"/>
      <c r="QD113" s="87"/>
      <c r="QE113" s="87"/>
      <c r="QF113" s="87"/>
      <c r="QG113" s="87"/>
      <c r="QH113" s="87"/>
      <c r="QI113" s="87"/>
      <c r="QJ113" s="87"/>
      <c r="QK113" s="87"/>
      <c r="QL113" s="87"/>
      <c r="QM113" s="87"/>
      <c r="QN113" s="87"/>
      <c r="QO113" s="87"/>
      <c r="QP113" s="87"/>
      <c r="QQ113" s="87"/>
      <c r="QR113" s="87"/>
      <c r="QS113" s="87"/>
      <c r="QT113" s="87"/>
      <c r="QU113" s="87"/>
      <c r="QV113" s="87"/>
      <c r="QW113" s="87"/>
      <c r="QX113" s="87"/>
      <c r="QY113" s="87"/>
      <c r="QZ113" s="87"/>
      <c r="RA113" s="87"/>
      <c r="RB113" s="87"/>
      <c r="RC113" s="87"/>
      <c r="RD113" s="87"/>
      <c r="RE113" s="87"/>
      <c r="RF113" s="87"/>
      <c r="RG113" s="87"/>
      <c r="RH113" s="87"/>
      <c r="RI113" s="87"/>
      <c r="RJ113" s="87"/>
      <c r="RK113" s="87"/>
      <c r="RL113" s="87"/>
      <c r="RM113" s="87"/>
      <c r="RN113" s="87"/>
      <c r="RO113" s="87"/>
      <c r="RP113" s="87"/>
      <c r="RQ113" s="87"/>
      <c r="RR113" s="87"/>
      <c r="RS113" s="87"/>
      <c r="RT113" s="87"/>
      <c r="RU113" s="87"/>
      <c r="RV113" s="87"/>
      <c r="RW113" s="87"/>
      <c r="RX113" s="87"/>
      <c r="RY113" s="87"/>
      <c r="RZ113" s="87"/>
      <c r="SA113" s="87"/>
      <c r="SB113" s="87"/>
      <c r="SC113" s="87"/>
      <c r="SD113" s="87"/>
      <c r="SE113" s="87"/>
      <c r="SF113" s="87"/>
      <c r="SG113" s="87"/>
      <c r="SH113" s="87"/>
      <c r="SI113" s="87"/>
      <c r="SJ113" s="87"/>
      <c r="SK113" s="87"/>
      <c r="SL113" s="87"/>
      <c r="SM113" s="87"/>
      <c r="SN113" s="87"/>
      <c r="SO113" s="87"/>
      <c r="SP113" s="87"/>
      <c r="SQ113" s="87"/>
      <c r="SR113" s="87"/>
      <c r="SS113" s="87"/>
      <c r="ST113" s="87"/>
      <c r="SU113" s="87"/>
      <c r="SV113" s="87"/>
      <c r="SW113" s="87"/>
      <c r="SX113" s="87"/>
      <c r="SY113" s="87"/>
      <c r="SZ113" s="87"/>
      <c r="TA113" s="87"/>
      <c r="TB113" s="87"/>
      <c r="TC113" s="87"/>
      <c r="TD113" s="87"/>
      <c r="TE113" s="87"/>
      <c r="TF113" s="87"/>
      <c r="TG113" s="87"/>
      <c r="TH113" s="87"/>
      <c r="TI113" s="87"/>
      <c r="TJ113" s="87"/>
      <c r="TK113" s="87"/>
      <c r="TL113" s="87"/>
      <c r="TM113" s="87"/>
      <c r="TN113" s="87"/>
      <c r="TO113" s="87"/>
      <c r="TP113" s="87"/>
      <c r="TQ113" s="87"/>
      <c r="TR113" s="87"/>
      <c r="TS113" s="87"/>
      <c r="TT113" s="87"/>
      <c r="TU113" s="87"/>
      <c r="TV113" s="87"/>
      <c r="TW113" s="87"/>
      <c r="TX113" s="87"/>
      <c r="TY113" s="87"/>
      <c r="TZ113" s="87"/>
      <c r="UA113" s="87"/>
      <c r="UB113" s="87"/>
      <c r="UC113" s="87"/>
      <c r="UD113" s="87"/>
      <c r="UE113" s="87"/>
      <c r="UF113" s="87"/>
      <c r="UG113" s="87"/>
      <c r="UH113" s="87"/>
      <c r="UI113" s="87"/>
      <c r="UJ113" s="87"/>
      <c r="UK113" s="87"/>
      <c r="UL113" s="87"/>
      <c r="UM113" s="87"/>
      <c r="UN113" s="87"/>
      <c r="UO113" s="87"/>
      <c r="UP113" s="87"/>
      <c r="UQ113" s="87"/>
      <c r="UR113" s="87"/>
      <c r="US113" s="87"/>
      <c r="UT113" s="87"/>
      <c r="UU113" s="87"/>
      <c r="UV113" s="87"/>
      <c r="UW113" s="87"/>
      <c r="UX113" s="87"/>
      <c r="UY113" s="87"/>
      <c r="UZ113" s="87"/>
      <c r="VA113" s="87"/>
      <c r="VB113" s="87"/>
      <c r="VC113" s="87"/>
      <c r="VD113" s="87"/>
      <c r="VE113" s="87"/>
      <c r="VF113" s="87"/>
      <c r="VG113" s="87"/>
      <c r="VH113" s="87"/>
      <c r="VI113" s="87"/>
      <c r="VJ113" s="87"/>
      <c r="VK113" s="87"/>
      <c r="VL113" s="87"/>
      <c r="VM113" s="87"/>
      <c r="VN113" s="87"/>
      <c r="VO113" s="87"/>
      <c r="VP113" s="87"/>
      <c r="VQ113" s="87"/>
      <c r="VR113" s="87"/>
      <c r="VS113" s="87"/>
      <c r="VT113" s="87"/>
      <c r="VU113" s="87"/>
      <c r="VV113" s="87"/>
      <c r="VW113" s="87"/>
      <c r="VX113" s="87"/>
      <c r="VY113" s="87"/>
      <c r="VZ113" s="87"/>
      <c r="WA113" s="87"/>
      <c r="WB113" s="87"/>
      <c r="WC113" s="87"/>
      <c r="WD113" s="87"/>
      <c r="WE113" s="87"/>
      <c r="WF113" s="87"/>
      <c r="WG113" s="87"/>
      <c r="WH113" s="87"/>
      <c r="WI113" s="87"/>
      <c r="WJ113" s="87"/>
      <c r="WK113" s="87"/>
      <c r="WL113" s="87"/>
      <c r="WM113" s="87"/>
      <c r="WN113" s="87"/>
      <c r="WO113" s="87"/>
      <c r="WP113" s="87"/>
      <c r="WQ113" s="87"/>
      <c r="WR113" s="87"/>
      <c r="WS113" s="87"/>
      <c r="WT113" s="87"/>
      <c r="WU113" s="87"/>
      <c r="WV113" s="87"/>
      <c r="WW113" s="87"/>
      <c r="WX113" s="87"/>
      <c r="WY113" s="87"/>
      <c r="WZ113" s="87"/>
      <c r="XA113" s="87"/>
      <c r="XB113" s="87"/>
      <c r="XC113" s="87"/>
      <c r="XD113" s="87"/>
      <c r="XE113" s="87"/>
      <c r="XF113" s="87"/>
      <c r="XG113" s="87"/>
      <c r="XH113" s="87"/>
      <c r="XI113" s="87"/>
      <c r="XJ113" s="87"/>
      <c r="XK113" s="87"/>
      <c r="XL113" s="87"/>
      <c r="XM113" s="87"/>
      <c r="XN113" s="87"/>
      <c r="XO113" s="87"/>
      <c r="XP113" s="87"/>
      <c r="XQ113" s="87"/>
      <c r="XR113" s="87"/>
      <c r="XS113" s="87"/>
      <c r="XT113" s="87"/>
      <c r="XU113" s="87"/>
      <c r="XV113" s="87"/>
      <c r="XW113" s="87"/>
      <c r="XX113" s="87"/>
      <c r="XY113" s="87"/>
      <c r="XZ113" s="87"/>
      <c r="YA113" s="87"/>
      <c r="YB113" s="87"/>
      <c r="YC113" s="87"/>
      <c r="YD113" s="87"/>
      <c r="YE113" s="87"/>
      <c r="YF113" s="87"/>
      <c r="YG113" s="87"/>
      <c r="YH113" s="87"/>
      <c r="YI113" s="87"/>
      <c r="YJ113" s="87"/>
      <c r="YK113" s="87"/>
      <c r="YL113" s="87"/>
      <c r="YM113" s="87"/>
      <c r="YN113" s="87"/>
      <c r="YO113" s="87"/>
      <c r="YP113" s="87"/>
      <c r="YQ113" s="87"/>
      <c r="YR113" s="87"/>
      <c r="YS113" s="87"/>
      <c r="YT113" s="87"/>
      <c r="YU113" s="87"/>
      <c r="YV113" s="87"/>
      <c r="YW113" s="87"/>
      <c r="YX113" s="87"/>
      <c r="YY113" s="87"/>
      <c r="YZ113" s="87"/>
      <c r="ZA113" s="87"/>
      <c r="ZB113" s="87"/>
      <c r="ZC113" s="87"/>
      <c r="ZD113" s="87"/>
      <c r="ZE113" s="87"/>
      <c r="ZF113" s="87"/>
      <c r="ZG113" s="87"/>
      <c r="ZH113" s="87"/>
      <c r="ZI113" s="87"/>
      <c r="ZJ113" s="87"/>
      <c r="ZK113" s="87"/>
      <c r="ZL113" s="87"/>
      <c r="ZM113" s="87"/>
      <c r="ZN113" s="87"/>
      <c r="ZO113" s="87"/>
      <c r="ZP113" s="87"/>
      <c r="ZQ113" s="87"/>
      <c r="ZR113" s="87"/>
      <c r="ZS113" s="87"/>
      <c r="ZT113" s="87"/>
      <c r="ZU113" s="87"/>
      <c r="ZV113" s="87"/>
      <c r="ZW113" s="87"/>
      <c r="ZX113" s="87"/>
      <c r="ZY113" s="87"/>
      <c r="ZZ113" s="87"/>
      <c r="AAA113" s="87"/>
      <c r="AAB113" s="87"/>
      <c r="AAC113" s="87"/>
      <c r="AAD113" s="87"/>
      <c r="AAE113" s="87"/>
      <c r="AAF113" s="87"/>
      <c r="AAG113" s="87"/>
      <c r="AAH113" s="87"/>
      <c r="AAI113" s="87"/>
      <c r="AAJ113" s="87"/>
      <c r="AAK113" s="87"/>
      <c r="AAL113" s="87"/>
      <c r="AAM113" s="87"/>
      <c r="AAN113" s="87"/>
      <c r="AAO113" s="87"/>
      <c r="AAP113" s="87"/>
      <c r="AAQ113" s="87"/>
      <c r="AAR113" s="87"/>
      <c r="AAS113" s="87"/>
      <c r="AAT113" s="87"/>
      <c r="AAU113" s="87"/>
      <c r="AAV113" s="87"/>
      <c r="AAW113" s="87"/>
      <c r="AAX113" s="87"/>
      <c r="AAY113" s="87"/>
      <c r="AAZ113" s="87"/>
      <c r="ABA113" s="87"/>
      <c r="ABB113" s="87"/>
      <c r="ABC113" s="87"/>
      <c r="ABD113" s="87"/>
      <c r="ABE113" s="87"/>
      <c r="ABF113" s="87"/>
      <c r="ABG113" s="87"/>
      <c r="ABH113" s="87"/>
      <c r="ABI113" s="87"/>
      <c r="ABJ113" s="87"/>
      <c r="ABK113" s="87"/>
      <c r="ABL113" s="87"/>
      <c r="ABM113" s="87"/>
      <c r="ABN113" s="87"/>
      <c r="ABO113" s="87"/>
      <c r="ABP113" s="87"/>
      <c r="ABQ113" s="87"/>
      <c r="ABR113" s="87"/>
      <c r="ABS113" s="87"/>
      <c r="ABT113" s="87"/>
      <c r="ABU113" s="87"/>
      <c r="ABV113" s="87"/>
      <c r="ABW113" s="87"/>
      <c r="ABX113" s="87"/>
      <c r="ABY113" s="87"/>
      <c r="ABZ113" s="87"/>
      <c r="ACA113" s="87"/>
      <c r="ACB113" s="87"/>
      <c r="ACC113" s="87"/>
      <c r="ACD113" s="87"/>
      <c r="ACE113" s="87"/>
      <c r="ACF113" s="87"/>
      <c r="ACG113" s="87"/>
      <c r="ACH113" s="87"/>
      <c r="ACI113" s="87"/>
      <c r="ACJ113" s="87"/>
      <c r="ACK113" s="87"/>
      <c r="ACL113" s="87"/>
      <c r="ACM113" s="87"/>
      <c r="ACN113" s="87"/>
      <c r="ACO113" s="87"/>
      <c r="ACP113" s="87"/>
      <c r="ACQ113" s="87"/>
      <c r="ACR113" s="87"/>
      <c r="ACS113" s="87"/>
      <c r="ACT113" s="87"/>
      <c r="ACU113" s="87"/>
      <c r="ACV113" s="87"/>
      <c r="ACW113" s="87"/>
      <c r="ACX113" s="87"/>
      <c r="ACY113" s="87"/>
      <c r="ACZ113" s="87"/>
      <c r="ADA113" s="87"/>
      <c r="ADB113" s="87"/>
      <c r="ADC113" s="87"/>
      <c r="ADD113" s="87"/>
      <c r="ADE113" s="87"/>
      <c r="ADF113" s="87"/>
      <c r="ADG113" s="87"/>
      <c r="ADH113" s="87"/>
      <c r="ADI113" s="87"/>
      <c r="ADJ113" s="87"/>
      <c r="ADK113" s="87"/>
      <c r="ADL113" s="87"/>
      <c r="ADM113" s="87"/>
      <c r="ADN113" s="87"/>
      <c r="ADO113" s="87"/>
      <c r="ADP113" s="87"/>
      <c r="ADQ113" s="87"/>
      <c r="ADR113" s="87"/>
      <c r="ADS113" s="87"/>
      <c r="ADT113" s="87"/>
      <c r="ADU113" s="87"/>
      <c r="ADV113" s="87"/>
      <c r="ADW113" s="87"/>
      <c r="ADX113" s="87"/>
      <c r="ADY113" s="87"/>
      <c r="ADZ113" s="87"/>
      <c r="AEA113" s="87"/>
      <c r="AEB113" s="87"/>
      <c r="AEC113" s="87"/>
      <c r="AED113" s="87"/>
      <c r="AEE113" s="87"/>
      <c r="AEF113" s="87"/>
      <c r="AEG113" s="87"/>
      <c r="AEH113" s="87"/>
      <c r="AEI113" s="87"/>
      <c r="AEJ113" s="87"/>
      <c r="AEK113" s="87"/>
      <c r="AEL113" s="87"/>
      <c r="AEM113" s="87"/>
      <c r="AEN113" s="87"/>
      <c r="AEO113" s="87"/>
      <c r="AEP113" s="87"/>
      <c r="AEQ113" s="87"/>
      <c r="AER113" s="87"/>
      <c r="AES113" s="87"/>
      <c r="AET113" s="87"/>
      <c r="AEU113" s="87"/>
      <c r="AEV113" s="87"/>
      <c r="AEW113" s="87"/>
      <c r="AEX113" s="87"/>
      <c r="AEY113" s="87"/>
      <c r="AEZ113" s="87"/>
      <c r="AFA113" s="87"/>
      <c r="AFB113" s="87"/>
      <c r="AFC113" s="87"/>
      <c r="AFD113" s="87"/>
      <c r="AFE113" s="87"/>
      <c r="AFF113" s="87"/>
      <c r="AFG113" s="87"/>
      <c r="AFH113" s="87"/>
      <c r="AFI113" s="87"/>
      <c r="AFJ113" s="87"/>
      <c r="AFK113" s="87"/>
      <c r="AFL113" s="87"/>
      <c r="AFM113" s="87"/>
      <c r="AFN113" s="87"/>
      <c r="AFO113" s="87"/>
      <c r="AFP113" s="87"/>
      <c r="AFQ113" s="87"/>
      <c r="AFR113" s="87"/>
      <c r="AFS113" s="87"/>
      <c r="AFT113" s="87"/>
      <c r="AFU113" s="87"/>
      <c r="AFV113" s="87"/>
      <c r="AFW113" s="87"/>
      <c r="AFX113" s="87"/>
      <c r="AFY113" s="87"/>
      <c r="AFZ113" s="87"/>
      <c r="AGA113" s="87"/>
      <c r="AGB113" s="87"/>
      <c r="AGC113" s="87"/>
      <c r="AGD113" s="87"/>
      <c r="AGE113" s="87"/>
      <c r="AGF113" s="87"/>
      <c r="AGG113" s="87"/>
      <c r="AGH113" s="87"/>
      <c r="AGI113" s="87"/>
      <c r="AGJ113" s="87"/>
      <c r="AGK113" s="87"/>
      <c r="AGL113" s="87"/>
      <c r="AGM113" s="87"/>
      <c r="AGN113" s="87"/>
      <c r="AGO113" s="87"/>
      <c r="AGP113" s="87"/>
      <c r="AGQ113" s="87"/>
      <c r="AGR113" s="87"/>
      <c r="AGS113" s="87"/>
      <c r="AGT113" s="87"/>
      <c r="AGU113" s="87"/>
      <c r="AGV113" s="87"/>
      <c r="AGW113" s="87"/>
      <c r="AGX113" s="87"/>
      <c r="AGY113" s="87"/>
      <c r="AGZ113" s="87"/>
      <c r="AHA113" s="87"/>
      <c r="AHB113" s="87"/>
      <c r="AHC113" s="87"/>
      <c r="AHD113" s="87"/>
      <c r="AHE113" s="87"/>
      <c r="AHF113" s="87"/>
      <c r="AHG113" s="87"/>
      <c r="AHH113" s="87"/>
      <c r="AHI113" s="87"/>
      <c r="AHJ113" s="87"/>
      <c r="AHK113" s="87"/>
      <c r="AHL113" s="87"/>
      <c r="AHM113" s="87"/>
      <c r="AHN113" s="87"/>
      <c r="AHO113" s="87"/>
      <c r="AHP113" s="87"/>
      <c r="AHQ113" s="87"/>
      <c r="AHR113" s="87"/>
      <c r="AHS113" s="87"/>
      <c r="AHT113" s="87"/>
      <c r="AHU113" s="87"/>
      <c r="AHV113" s="87"/>
      <c r="AHW113" s="87"/>
      <c r="AHX113" s="87"/>
      <c r="AHY113" s="87"/>
      <c r="AHZ113" s="87"/>
      <c r="AIA113" s="87"/>
      <c r="AIB113" s="87"/>
      <c r="AIC113" s="87"/>
      <c r="AID113" s="87"/>
      <c r="AIE113" s="87"/>
      <c r="AIF113" s="87"/>
      <c r="AIG113" s="87"/>
      <c r="AIH113" s="87"/>
      <c r="AII113" s="87"/>
      <c r="AIJ113" s="87"/>
      <c r="AIK113" s="87"/>
      <c r="AIL113" s="87"/>
      <c r="AIM113" s="87"/>
      <c r="AIN113" s="87"/>
      <c r="AIO113" s="87"/>
      <c r="AIP113" s="87"/>
      <c r="AIQ113" s="87"/>
      <c r="AIR113" s="87"/>
      <c r="AIS113" s="87"/>
      <c r="AIT113" s="87"/>
      <c r="AIU113" s="87"/>
      <c r="AIV113" s="87"/>
      <c r="AIW113" s="87"/>
      <c r="AIX113" s="87"/>
      <c r="AIY113" s="87"/>
      <c r="AIZ113" s="87"/>
      <c r="AJA113" s="87"/>
      <c r="AJB113" s="87"/>
      <c r="AJC113" s="87"/>
      <c r="AJD113" s="87"/>
      <c r="AJE113" s="87"/>
      <c r="AJF113" s="87"/>
      <c r="AJG113" s="87"/>
      <c r="AJH113" s="87"/>
      <c r="AJI113" s="87"/>
      <c r="AJJ113" s="87"/>
      <c r="AJK113" s="87"/>
      <c r="AJL113" s="87"/>
      <c r="AJM113" s="87"/>
      <c r="AJN113" s="87"/>
      <c r="AJO113" s="87"/>
      <c r="AJP113" s="87"/>
      <c r="AJQ113" s="87"/>
      <c r="AJR113" s="87"/>
      <c r="AJS113" s="87"/>
      <c r="AJT113" s="87"/>
      <c r="AJU113" s="87"/>
      <c r="AJV113" s="87"/>
      <c r="AJW113" s="87"/>
      <c r="AJX113" s="87"/>
      <c r="AJY113" s="87"/>
      <c r="AJZ113" s="87"/>
      <c r="AKA113" s="87"/>
      <c r="AKB113" s="87"/>
      <c r="AKC113" s="87"/>
      <c r="AKD113" s="87"/>
      <c r="AKE113" s="87"/>
      <c r="AKF113" s="87"/>
      <c r="AKG113" s="87"/>
      <c r="AKH113" s="87"/>
      <c r="AKI113" s="87"/>
      <c r="AKJ113" s="87"/>
      <c r="AKK113" s="87"/>
      <c r="AKL113" s="87"/>
      <c r="AKM113" s="87"/>
      <c r="AKN113" s="87"/>
      <c r="AKO113" s="87"/>
      <c r="AKP113" s="87"/>
      <c r="AKQ113" s="87"/>
      <c r="AKR113" s="87"/>
      <c r="AKS113" s="87"/>
      <c r="AKT113" s="87"/>
      <c r="AKU113" s="87"/>
      <c r="AKV113" s="87"/>
      <c r="AKW113" s="87"/>
      <c r="AKX113" s="87"/>
      <c r="AKY113" s="87"/>
      <c r="AKZ113" s="87"/>
      <c r="ALA113" s="87"/>
      <c r="ALB113" s="87"/>
      <c r="ALC113" s="87"/>
      <c r="ALD113" s="87"/>
      <c r="ALE113" s="87"/>
      <c r="ALF113" s="87"/>
      <c r="ALG113" s="87"/>
      <c r="ALH113" s="87"/>
      <c r="ALI113" s="87"/>
      <c r="ALJ113" s="87"/>
      <c r="ALK113" s="87"/>
      <c r="ALL113" s="87"/>
      <c r="ALM113" s="87"/>
      <c r="ALN113" s="87"/>
      <c r="ALO113" s="87"/>
      <c r="ALP113" s="87"/>
      <c r="ALQ113" s="87"/>
      <c r="ALR113" s="87"/>
      <c r="ALS113" s="87"/>
      <c r="ALT113" s="87"/>
      <c r="ALU113" s="87"/>
      <c r="ALV113" s="87"/>
      <c r="ALW113" s="87"/>
      <c r="ALX113" s="87"/>
      <c r="ALY113" s="87"/>
      <c r="ALZ113" s="87"/>
      <c r="AMA113" s="87"/>
      <c r="AMB113" s="87"/>
      <c r="AMC113" s="87"/>
      <c r="AMD113" s="87"/>
      <c r="AME113" s="87"/>
      <c r="AMF113" s="87"/>
      <c r="AMG113" s="87"/>
      <c r="AMH113" s="87"/>
      <c r="AMI113" s="87"/>
      <c r="AMJ113" s="87"/>
      <c r="AMK113" s="87"/>
      <c r="AML113" s="87"/>
      <c r="AMM113" s="87"/>
      <c r="AMN113" s="87"/>
      <c r="AMO113" s="87"/>
      <c r="AMP113" s="87"/>
      <c r="AMQ113" s="87"/>
      <c r="AMR113" s="87"/>
      <c r="AMS113" s="87"/>
      <c r="AMT113" s="87"/>
      <c r="AMU113" s="87"/>
      <c r="AMV113" s="87"/>
      <c r="AMW113" s="87"/>
      <c r="AMX113" s="87"/>
    </row>
    <row r="114" spans="1:1038" s="4" customFormat="1" ht="33.75" customHeight="1" x14ac:dyDescent="0.4">
      <c r="A114" s="18">
        <v>83</v>
      </c>
      <c r="B114" s="58" t="s">
        <v>322</v>
      </c>
      <c r="C114" s="20" t="s">
        <v>275</v>
      </c>
      <c r="D114" s="59" t="s">
        <v>276</v>
      </c>
      <c r="E114" s="59"/>
      <c r="F114" s="59" t="s">
        <v>277</v>
      </c>
      <c r="G114" s="78"/>
      <c r="H114" s="69">
        <v>46203</v>
      </c>
      <c r="I114" s="21"/>
      <c r="J114" s="42"/>
      <c r="K114" s="187"/>
      <c r="L114" s="42"/>
      <c r="M114" s="42"/>
      <c r="N114" s="207">
        <v>211500</v>
      </c>
      <c r="O114" s="61">
        <v>0</v>
      </c>
      <c r="P114" s="60">
        <v>211500</v>
      </c>
      <c r="Q114" s="61"/>
      <c r="R114" s="60"/>
      <c r="S114" s="61"/>
      <c r="T114" s="62"/>
      <c r="U114" s="62"/>
      <c r="V114" s="88"/>
      <c r="W114" s="88"/>
      <c r="X114" s="88"/>
      <c r="Y114" s="88"/>
      <c r="Z114" s="88"/>
      <c r="AA114" s="88"/>
      <c r="AB114" s="88"/>
      <c r="AC114" s="88"/>
      <c r="AD114" s="88"/>
      <c r="AE114" s="88"/>
      <c r="AF114" s="88"/>
      <c r="AG114" s="88"/>
      <c r="AH114" s="88"/>
      <c r="AI114" s="88"/>
      <c r="AJ114" s="88"/>
      <c r="AK114" s="88"/>
      <c r="AL114" s="88"/>
      <c r="AM114" s="88"/>
      <c r="AN114" s="88"/>
      <c r="AO114" s="88"/>
      <c r="AP114" s="88"/>
      <c r="AQ114" s="88"/>
      <c r="AR114" s="88"/>
      <c r="AS114" s="88"/>
      <c r="AT114" s="88"/>
      <c r="AU114" s="88"/>
      <c r="AV114" s="88"/>
      <c r="AW114" s="88"/>
      <c r="AX114" s="88"/>
      <c r="AY114" s="88"/>
      <c r="AZ114" s="88"/>
      <c r="BA114" s="88"/>
      <c r="BB114" s="88"/>
      <c r="BC114" s="88"/>
      <c r="BD114" s="88"/>
      <c r="BE114" s="88"/>
      <c r="BF114" s="88"/>
      <c r="BG114" s="88"/>
      <c r="BH114" s="88"/>
      <c r="BI114" s="88"/>
      <c r="BJ114" s="88"/>
      <c r="BK114" s="88"/>
      <c r="BL114" s="88"/>
      <c r="BM114" s="88"/>
      <c r="BN114" s="88"/>
      <c r="BO114" s="88"/>
      <c r="BP114" s="88"/>
      <c r="BQ114" s="88"/>
      <c r="BR114" s="88"/>
      <c r="BS114" s="88"/>
      <c r="BT114" s="88"/>
      <c r="BU114" s="88"/>
      <c r="BV114" s="88"/>
      <c r="BW114" s="88"/>
      <c r="BX114" s="88"/>
      <c r="BY114" s="88"/>
      <c r="BZ114" s="88"/>
      <c r="CA114" s="88"/>
      <c r="CB114" s="88"/>
      <c r="CC114" s="88"/>
      <c r="CD114" s="88"/>
      <c r="CE114" s="88"/>
      <c r="CF114" s="88"/>
      <c r="CG114" s="88"/>
      <c r="CH114" s="88"/>
      <c r="CI114" s="88"/>
      <c r="CJ114" s="88"/>
      <c r="CK114" s="88"/>
      <c r="CL114" s="88"/>
      <c r="CM114" s="88"/>
      <c r="CN114" s="88"/>
      <c r="CO114" s="88"/>
      <c r="CP114" s="88"/>
      <c r="CQ114" s="88"/>
      <c r="CR114" s="88"/>
      <c r="CS114" s="88"/>
      <c r="CT114" s="88"/>
      <c r="CU114" s="88"/>
      <c r="CV114" s="88"/>
      <c r="CW114" s="88"/>
      <c r="CX114" s="88"/>
      <c r="CY114" s="88"/>
      <c r="CZ114" s="88"/>
      <c r="DA114" s="88"/>
      <c r="DB114" s="88"/>
      <c r="DC114" s="88"/>
      <c r="DD114" s="88"/>
      <c r="DE114" s="88"/>
      <c r="DF114" s="88"/>
      <c r="DG114" s="88"/>
      <c r="DH114" s="88"/>
      <c r="DI114" s="88"/>
      <c r="DJ114" s="88"/>
      <c r="DK114" s="88"/>
      <c r="DL114" s="88"/>
      <c r="DM114" s="88"/>
      <c r="DN114" s="88"/>
      <c r="DO114" s="88"/>
      <c r="DP114" s="88"/>
      <c r="DQ114" s="88"/>
      <c r="DR114" s="88"/>
      <c r="DS114" s="88"/>
      <c r="DT114" s="88"/>
      <c r="DU114" s="88"/>
      <c r="DV114" s="88"/>
      <c r="DW114" s="88"/>
      <c r="DX114" s="88"/>
      <c r="DY114" s="88"/>
      <c r="DZ114" s="88"/>
      <c r="EA114" s="88"/>
      <c r="EB114" s="88"/>
      <c r="EC114" s="88"/>
      <c r="ED114" s="88"/>
      <c r="EE114" s="88"/>
      <c r="EF114" s="88"/>
      <c r="EG114" s="88"/>
      <c r="EH114" s="88"/>
      <c r="EI114" s="88"/>
      <c r="EJ114" s="88"/>
      <c r="EK114" s="88"/>
      <c r="EL114" s="88"/>
      <c r="EM114" s="88"/>
      <c r="EN114" s="88"/>
      <c r="EO114" s="88"/>
      <c r="EP114" s="88"/>
      <c r="EQ114" s="88"/>
      <c r="ER114" s="88"/>
      <c r="ES114" s="88"/>
      <c r="ET114" s="88"/>
      <c r="EU114" s="88"/>
      <c r="EV114" s="88"/>
      <c r="EW114" s="88"/>
      <c r="EX114" s="88"/>
      <c r="EY114" s="88"/>
      <c r="EZ114" s="88"/>
      <c r="FA114" s="88"/>
      <c r="FB114" s="88"/>
      <c r="FC114" s="88"/>
      <c r="FD114" s="88"/>
      <c r="FE114" s="88"/>
      <c r="FF114" s="88"/>
      <c r="FG114" s="88"/>
      <c r="FH114" s="88"/>
      <c r="FI114" s="88"/>
      <c r="FJ114" s="88"/>
      <c r="FK114" s="88"/>
      <c r="FL114" s="88"/>
      <c r="FM114" s="88"/>
      <c r="FN114" s="88"/>
      <c r="FO114" s="88"/>
      <c r="FP114" s="88"/>
      <c r="FQ114" s="88"/>
      <c r="FR114" s="88"/>
      <c r="FS114" s="88"/>
      <c r="FT114" s="88"/>
      <c r="FU114" s="88"/>
      <c r="FV114" s="88"/>
      <c r="FW114" s="88"/>
      <c r="FX114" s="88"/>
      <c r="FY114" s="88"/>
      <c r="FZ114" s="88"/>
      <c r="GA114" s="88"/>
      <c r="GB114" s="88"/>
      <c r="GC114" s="88"/>
      <c r="GD114" s="88"/>
      <c r="GE114" s="88"/>
      <c r="GF114" s="88"/>
      <c r="GG114" s="88"/>
      <c r="GH114" s="88"/>
      <c r="GI114" s="88"/>
      <c r="GJ114" s="88"/>
      <c r="GK114" s="88"/>
      <c r="GL114" s="88"/>
      <c r="GM114" s="88"/>
      <c r="GN114" s="88"/>
      <c r="GO114" s="88"/>
      <c r="GP114" s="88"/>
      <c r="GQ114" s="88"/>
      <c r="GR114" s="88"/>
      <c r="GS114" s="88"/>
      <c r="GT114" s="88"/>
      <c r="GU114" s="88"/>
      <c r="GV114" s="88"/>
      <c r="GW114" s="88"/>
      <c r="GX114" s="88"/>
      <c r="GY114" s="88"/>
      <c r="GZ114" s="88"/>
      <c r="HA114" s="88"/>
      <c r="HB114" s="88"/>
      <c r="HC114" s="88"/>
      <c r="HD114" s="88"/>
      <c r="HE114" s="88"/>
      <c r="HF114" s="88"/>
      <c r="HG114" s="88"/>
      <c r="HH114" s="88"/>
      <c r="HI114" s="88"/>
      <c r="HJ114" s="88"/>
      <c r="HK114" s="88"/>
      <c r="HL114" s="88"/>
      <c r="HM114" s="88"/>
      <c r="HN114" s="88"/>
      <c r="HO114" s="88"/>
      <c r="HP114" s="88"/>
      <c r="HQ114" s="88"/>
      <c r="HR114" s="88"/>
      <c r="HS114" s="88"/>
      <c r="HT114" s="88"/>
      <c r="HU114" s="88"/>
      <c r="HV114" s="88"/>
      <c r="HW114" s="88"/>
      <c r="HX114" s="88"/>
      <c r="HY114" s="88"/>
      <c r="HZ114" s="88"/>
      <c r="IA114" s="88"/>
      <c r="IB114" s="88"/>
      <c r="IC114" s="88"/>
      <c r="ID114" s="88"/>
      <c r="IE114" s="88"/>
      <c r="IF114" s="88"/>
      <c r="IG114" s="88"/>
      <c r="IH114" s="88"/>
      <c r="II114" s="88"/>
      <c r="IJ114" s="88"/>
      <c r="IK114" s="88"/>
      <c r="IL114" s="88"/>
      <c r="IM114" s="88"/>
      <c r="IN114" s="88"/>
      <c r="IO114" s="88"/>
      <c r="IP114" s="88"/>
      <c r="IQ114" s="88"/>
      <c r="IR114" s="88"/>
      <c r="IS114" s="88"/>
      <c r="IT114" s="88"/>
      <c r="IU114" s="88"/>
      <c r="IV114" s="88"/>
      <c r="IW114" s="88"/>
      <c r="IX114" s="88"/>
      <c r="IY114" s="88"/>
      <c r="IZ114" s="88"/>
      <c r="JA114" s="88"/>
      <c r="JB114" s="88"/>
      <c r="JC114" s="88"/>
      <c r="JD114" s="88"/>
      <c r="JE114" s="88"/>
      <c r="JF114" s="88"/>
      <c r="JG114" s="88"/>
      <c r="JH114" s="88"/>
      <c r="JI114" s="88"/>
      <c r="JJ114" s="88"/>
      <c r="JK114" s="88"/>
      <c r="JL114" s="88"/>
      <c r="JM114" s="88"/>
      <c r="JN114" s="88"/>
      <c r="JO114" s="88"/>
      <c r="JP114" s="88"/>
      <c r="JQ114" s="88"/>
      <c r="JR114" s="88"/>
      <c r="JS114" s="88"/>
      <c r="JT114" s="88"/>
      <c r="JU114" s="88"/>
      <c r="JV114" s="88"/>
      <c r="JW114" s="88"/>
      <c r="JX114" s="88"/>
      <c r="JY114" s="88"/>
      <c r="JZ114" s="88"/>
      <c r="KA114" s="88"/>
      <c r="KB114" s="88"/>
      <c r="KC114" s="88"/>
      <c r="KD114" s="88"/>
      <c r="KE114" s="88"/>
      <c r="KF114" s="88"/>
      <c r="KG114" s="88"/>
      <c r="KH114" s="88"/>
      <c r="KI114" s="88"/>
      <c r="KJ114" s="88"/>
      <c r="KK114" s="88"/>
      <c r="KL114" s="88"/>
      <c r="KM114" s="88"/>
      <c r="KN114" s="88"/>
      <c r="KO114" s="88"/>
      <c r="KP114" s="88"/>
      <c r="KQ114" s="88"/>
      <c r="KR114" s="88"/>
      <c r="KS114" s="88"/>
      <c r="KT114" s="88"/>
      <c r="KU114" s="88"/>
      <c r="KV114" s="88"/>
      <c r="KW114" s="88"/>
      <c r="KX114" s="88"/>
      <c r="KY114" s="88"/>
      <c r="KZ114" s="88"/>
      <c r="LA114" s="88"/>
      <c r="LB114" s="88"/>
      <c r="LC114" s="88"/>
      <c r="LD114" s="88"/>
      <c r="LE114" s="88"/>
      <c r="LF114" s="88"/>
      <c r="LG114" s="88"/>
      <c r="LH114" s="88"/>
      <c r="LI114" s="88"/>
      <c r="LJ114" s="88"/>
      <c r="LK114" s="88"/>
      <c r="LL114" s="88"/>
      <c r="LM114" s="88"/>
      <c r="LN114" s="88"/>
      <c r="LO114" s="88"/>
      <c r="LP114" s="88"/>
      <c r="LQ114" s="88"/>
      <c r="LR114" s="88"/>
      <c r="LS114" s="88"/>
      <c r="LT114" s="88"/>
      <c r="LU114" s="88"/>
      <c r="LV114" s="88"/>
      <c r="LW114" s="88"/>
      <c r="LX114" s="88"/>
      <c r="LY114" s="88"/>
      <c r="LZ114" s="88"/>
      <c r="MA114" s="88"/>
      <c r="MB114" s="88"/>
      <c r="MC114" s="88"/>
      <c r="MD114" s="88"/>
      <c r="ME114" s="88"/>
      <c r="MF114" s="88"/>
      <c r="MG114" s="88"/>
      <c r="MH114" s="88"/>
      <c r="MI114" s="88"/>
      <c r="MJ114" s="88"/>
      <c r="MK114" s="88"/>
      <c r="ML114" s="88"/>
      <c r="MM114" s="88"/>
      <c r="MN114" s="88"/>
      <c r="MO114" s="88"/>
      <c r="MP114" s="88"/>
      <c r="MQ114" s="88"/>
      <c r="MR114" s="88"/>
      <c r="MS114" s="88"/>
      <c r="MT114" s="88"/>
      <c r="MU114" s="88"/>
      <c r="MV114" s="88"/>
      <c r="MW114" s="88"/>
      <c r="MX114" s="88"/>
      <c r="MY114" s="88"/>
      <c r="MZ114" s="88"/>
      <c r="NA114" s="88"/>
      <c r="NB114" s="88"/>
      <c r="NC114" s="88"/>
      <c r="ND114" s="88"/>
      <c r="NE114" s="88"/>
      <c r="NF114" s="88"/>
      <c r="NG114" s="88"/>
      <c r="NH114" s="88"/>
      <c r="NI114" s="88"/>
      <c r="NJ114" s="88"/>
      <c r="NK114" s="88"/>
      <c r="NL114" s="88"/>
      <c r="NM114" s="88"/>
      <c r="NN114" s="88"/>
      <c r="NO114" s="88"/>
      <c r="NP114" s="88"/>
      <c r="NQ114" s="88"/>
      <c r="NR114" s="88"/>
      <c r="NS114" s="88"/>
      <c r="NT114" s="88"/>
      <c r="NU114" s="88"/>
      <c r="NV114" s="88"/>
      <c r="NW114" s="88"/>
      <c r="NX114" s="88"/>
      <c r="NY114" s="88"/>
      <c r="NZ114" s="88"/>
      <c r="OA114" s="88"/>
      <c r="OB114" s="88"/>
      <c r="OC114" s="88"/>
      <c r="OD114" s="88"/>
      <c r="OE114" s="88"/>
      <c r="OF114" s="88"/>
      <c r="OG114" s="88"/>
      <c r="OH114" s="88"/>
      <c r="OI114" s="88"/>
      <c r="OJ114" s="88"/>
      <c r="OK114" s="88"/>
      <c r="OL114" s="88"/>
      <c r="OM114" s="88"/>
      <c r="ON114" s="88"/>
      <c r="OO114" s="88"/>
      <c r="OP114" s="88"/>
      <c r="OQ114" s="88"/>
      <c r="OR114" s="88"/>
      <c r="OS114" s="88"/>
      <c r="OT114" s="88"/>
      <c r="OU114" s="88"/>
      <c r="OV114" s="88"/>
      <c r="OW114" s="88"/>
      <c r="OX114" s="88"/>
      <c r="OY114" s="88"/>
      <c r="OZ114" s="88"/>
      <c r="PA114" s="88"/>
      <c r="PB114" s="88"/>
      <c r="PC114" s="88"/>
      <c r="PD114" s="88"/>
      <c r="PE114" s="88"/>
      <c r="PF114" s="88"/>
      <c r="PG114" s="88"/>
      <c r="PH114" s="88"/>
      <c r="PI114" s="88"/>
      <c r="PJ114" s="88"/>
      <c r="PK114" s="88"/>
      <c r="PL114" s="88"/>
      <c r="PM114" s="88"/>
      <c r="PN114" s="88"/>
      <c r="PO114" s="88"/>
      <c r="PP114" s="88"/>
      <c r="PQ114" s="88"/>
      <c r="PR114" s="88"/>
      <c r="PS114" s="88"/>
      <c r="PT114" s="88"/>
      <c r="PU114" s="88"/>
      <c r="PV114" s="88"/>
      <c r="PW114" s="88"/>
      <c r="PX114" s="88"/>
      <c r="PY114" s="88"/>
      <c r="PZ114" s="88"/>
      <c r="QA114" s="88"/>
      <c r="QB114" s="88"/>
      <c r="QC114" s="88"/>
      <c r="QD114" s="88"/>
      <c r="QE114" s="88"/>
      <c r="QF114" s="88"/>
      <c r="QG114" s="88"/>
      <c r="QH114" s="88"/>
      <c r="QI114" s="88"/>
      <c r="QJ114" s="88"/>
      <c r="QK114" s="88"/>
      <c r="QL114" s="88"/>
      <c r="QM114" s="88"/>
      <c r="QN114" s="88"/>
      <c r="QO114" s="88"/>
      <c r="QP114" s="88"/>
      <c r="QQ114" s="88"/>
      <c r="QR114" s="88"/>
      <c r="QS114" s="88"/>
      <c r="QT114" s="88"/>
      <c r="QU114" s="88"/>
      <c r="QV114" s="88"/>
      <c r="QW114" s="88"/>
      <c r="QX114" s="88"/>
      <c r="QY114" s="88"/>
      <c r="QZ114" s="88"/>
      <c r="RA114" s="88"/>
      <c r="RB114" s="88"/>
      <c r="RC114" s="88"/>
      <c r="RD114" s="88"/>
      <c r="RE114" s="88"/>
      <c r="RF114" s="88"/>
      <c r="RG114" s="88"/>
      <c r="RH114" s="88"/>
      <c r="RI114" s="88"/>
      <c r="RJ114" s="88"/>
      <c r="RK114" s="88"/>
      <c r="RL114" s="88"/>
      <c r="RM114" s="88"/>
      <c r="RN114" s="88"/>
      <c r="RO114" s="88"/>
      <c r="RP114" s="88"/>
      <c r="RQ114" s="88"/>
      <c r="RR114" s="88"/>
      <c r="RS114" s="88"/>
      <c r="RT114" s="88"/>
      <c r="RU114" s="88"/>
      <c r="RV114" s="88"/>
      <c r="RW114" s="88"/>
      <c r="RX114" s="88"/>
      <c r="RY114" s="88"/>
      <c r="RZ114" s="88"/>
      <c r="SA114" s="88"/>
      <c r="SB114" s="88"/>
      <c r="SC114" s="88"/>
      <c r="SD114" s="88"/>
      <c r="SE114" s="88"/>
      <c r="SF114" s="88"/>
      <c r="SG114" s="88"/>
      <c r="SH114" s="88"/>
      <c r="SI114" s="88"/>
      <c r="SJ114" s="88"/>
      <c r="SK114" s="88"/>
      <c r="SL114" s="88"/>
      <c r="SM114" s="88"/>
      <c r="SN114" s="88"/>
      <c r="SO114" s="88"/>
      <c r="SP114" s="88"/>
      <c r="SQ114" s="88"/>
      <c r="SR114" s="88"/>
      <c r="SS114" s="88"/>
      <c r="ST114" s="88"/>
      <c r="SU114" s="88"/>
      <c r="SV114" s="88"/>
      <c r="SW114" s="88"/>
      <c r="SX114" s="88"/>
      <c r="SY114" s="88"/>
      <c r="SZ114" s="88"/>
      <c r="TA114" s="88"/>
      <c r="TB114" s="88"/>
      <c r="TC114" s="88"/>
      <c r="TD114" s="88"/>
      <c r="TE114" s="88"/>
      <c r="TF114" s="88"/>
      <c r="TG114" s="88"/>
      <c r="TH114" s="88"/>
      <c r="TI114" s="88"/>
      <c r="TJ114" s="88"/>
      <c r="TK114" s="88"/>
      <c r="TL114" s="88"/>
      <c r="TM114" s="88"/>
      <c r="TN114" s="88"/>
      <c r="TO114" s="88"/>
      <c r="TP114" s="88"/>
      <c r="TQ114" s="88"/>
      <c r="TR114" s="88"/>
      <c r="TS114" s="88"/>
      <c r="TT114" s="88"/>
      <c r="TU114" s="88"/>
      <c r="TV114" s="88"/>
      <c r="TW114" s="88"/>
      <c r="TX114" s="88"/>
      <c r="TY114" s="88"/>
      <c r="TZ114" s="88"/>
      <c r="UA114" s="88"/>
      <c r="UB114" s="88"/>
      <c r="UC114" s="88"/>
      <c r="UD114" s="88"/>
      <c r="UE114" s="88"/>
      <c r="UF114" s="88"/>
      <c r="UG114" s="88"/>
      <c r="UH114" s="88"/>
      <c r="UI114" s="88"/>
      <c r="UJ114" s="88"/>
      <c r="UK114" s="88"/>
      <c r="UL114" s="88"/>
      <c r="UM114" s="88"/>
      <c r="UN114" s="88"/>
      <c r="UO114" s="88"/>
      <c r="UP114" s="88"/>
      <c r="UQ114" s="88"/>
      <c r="UR114" s="88"/>
      <c r="US114" s="88"/>
      <c r="UT114" s="88"/>
      <c r="UU114" s="88"/>
      <c r="UV114" s="88"/>
      <c r="UW114" s="88"/>
      <c r="UX114" s="88"/>
      <c r="UY114" s="88"/>
      <c r="UZ114" s="88"/>
      <c r="VA114" s="88"/>
      <c r="VB114" s="88"/>
      <c r="VC114" s="88"/>
      <c r="VD114" s="88"/>
      <c r="VE114" s="88"/>
      <c r="VF114" s="88"/>
      <c r="VG114" s="88"/>
      <c r="VH114" s="88"/>
      <c r="VI114" s="88"/>
      <c r="VJ114" s="88"/>
      <c r="VK114" s="88"/>
      <c r="VL114" s="88"/>
      <c r="VM114" s="88"/>
      <c r="VN114" s="88"/>
      <c r="VO114" s="88"/>
      <c r="VP114" s="88"/>
      <c r="VQ114" s="88"/>
      <c r="VR114" s="88"/>
      <c r="VS114" s="88"/>
      <c r="VT114" s="88"/>
      <c r="VU114" s="88"/>
      <c r="VV114" s="88"/>
      <c r="VW114" s="88"/>
      <c r="VX114" s="88"/>
      <c r="VY114" s="88"/>
      <c r="VZ114" s="88"/>
      <c r="WA114" s="88"/>
      <c r="WB114" s="88"/>
      <c r="WC114" s="88"/>
      <c r="WD114" s="88"/>
      <c r="WE114" s="88"/>
      <c r="WF114" s="88"/>
      <c r="WG114" s="88"/>
      <c r="WH114" s="88"/>
      <c r="WI114" s="88"/>
      <c r="WJ114" s="88"/>
      <c r="WK114" s="88"/>
      <c r="WL114" s="88"/>
      <c r="WM114" s="88"/>
      <c r="WN114" s="88"/>
      <c r="WO114" s="88"/>
      <c r="WP114" s="88"/>
      <c r="WQ114" s="88"/>
      <c r="WR114" s="88"/>
      <c r="WS114" s="88"/>
      <c r="WT114" s="88"/>
      <c r="WU114" s="88"/>
      <c r="WV114" s="88"/>
      <c r="WW114" s="88"/>
      <c r="WX114" s="88"/>
      <c r="WY114" s="88"/>
      <c r="WZ114" s="88"/>
      <c r="XA114" s="88"/>
      <c r="XB114" s="88"/>
      <c r="XC114" s="88"/>
      <c r="XD114" s="88"/>
      <c r="XE114" s="88"/>
      <c r="XF114" s="88"/>
      <c r="XG114" s="88"/>
      <c r="XH114" s="88"/>
      <c r="XI114" s="88"/>
      <c r="XJ114" s="88"/>
      <c r="XK114" s="88"/>
      <c r="XL114" s="88"/>
      <c r="XM114" s="88"/>
      <c r="XN114" s="88"/>
      <c r="XO114" s="88"/>
      <c r="XP114" s="88"/>
      <c r="XQ114" s="88"/>
      <c r="XR114" s="88"/>
      <c r="XS114" s="88"/>
      <c r="XT114" s="88"/>
      <c r="XU114" s="88"/>
      <c r="XV114" s="88"/>
      <c r="XW114" s="88"/>
      <c r="XX114" s="88"/>
      <c r="XY114" s="88"/>
      <c r="XZ114" s="88"/>
      <c r="YA114" s="88"/>
      <c r="YB114" s="88"/>
      <c r="YC114" s="88"/>
      <c r="YD114" s="88"/>
      <c r="YE114" s="88"/>
      <c r="YF114" s="88"/>
      <c r="YG114" s="88"/>
      <c r="YH114" s="88"/>
      <c r="YI114" s="88"/>
      <c r="YJ114" s="88"/>
      <c r="YK114" s="88"/>
      <c r="YL114" s="88"/>
      <c r="YM114" s="88"/>
      <c r="YN114" s="88"/>
      <c r="YO114" s="88"/>
      <c r="YP114" s="88"/>
      <c r="YQ114" s="88"/>
      <c r="YR114" s="88"/>
      <c r="YS114" s="88"/>
      <c r="YT114" s="88"/>
      <c r="YU114" s="88"/>
      <c r="YV114" s="88"/>
      <c r="YW114" s="88"/>
      <c r="YX114" s="88"/>
      <c r="YY114" s="88"/>
      <c r="YZ114" s="88"/>
      <c r="ZA114" s="88"/>
      <c r="ZB114" s="88"/>
      <c r="ZC114" s="88"/>
      <c r="ZD114" s="88"/>
      <c r="ZE114" s="88"/>
      <c r="ZF114" s="88"/>
      <c r="ZG114" s="88"/>
      <c r="ZH114" s="88"/>
      <c r="ZI114" s="88"/>
      <c r="ZJ114" s="88"/>
      <c r="ZK114" s="88"/>
      <c r="ZL114" s="88"/>
      <c r="ZM114" s="88"/>
      <c r="ZN114" s="88"/>
      <c r="ZO114" s="88"/>
      <c r="ZP114" s="88"/>
      <c r="ZQ114" s="88"/>
      <c r="ZR114" s="88"/>
      <c r="ZS114" s="88"/>
      <c r="ZT114" s="88"/>
      <c r="ZU114" s="88"/>
      <c r="ZV114" s="88"/>
      <c r="ZW114" s="88"/>
      <c r="ZX114" s="88"/>
      <c r="ZY114" s="88"/>
      <c r="ZZ114" s="88"/>
      <c r="AAA114" s="88"/>
      <c r="AAB114" s="88"/>
      <c r="AAC114" s="88"/>
      <c r="AAD114" s="88"/>
      <c r="AAE114" s="88"/>
      <c r="AAF114" s="88"/>
      <c r="AAG114" s="88"/>
      <c r="AAH114" s="88"/>
      <c r="AAI114" s="88"/>
      <c r="AAJ114" s="88"/>
      <c r="AAK114" s="88"/>
      <c r="AAL114" s="88"/>
      <c r="AAM114" s="88"/>
      <c r="AAN114" s="88"/>
      <c r="AAO114" s="88"/>
      <c r="AAP114" s="88"/>
      <c r="AAQ114" s="88"/>
      <c r="AAR114" s="88"/>
      <c r="AAS114" s="88"/>
      <c r="AAT114" s="88"/>
      <c r="AAU114" s="88"/>
      <c r="AAV114" s="88"/>
      <c r="AAW114" s="88"/>
      <c r="AAX114" s="88"/>
      <c r="AAY114" s="88"/>
      <c r="AAZ114" s="88"/>
      <c r="ABA114" s="88"/>
      <c r="ABB114" s="88"/>
      <c r="ABC114" s="88"/>
      <c r="ABD114" s="88"/>
      <c r="ABE114" s="88"/>
      <c r="ABF114" s="88"/>
      <c r="ABG114" s="88"/>
      <c r="ABH114" s="88"/>
      <c r="ABI114" s="88"/>
      <c r="ABJ114" s="88"/>
      <c r="ABK114" s="88"/>
      <c r="ABL114" s="88"/>
      <c r="ABM114" s="88"/>
      <c r="ABN114" s="88"/>
      <c r="ABO114" s="88"/>
      <c r="ABP114" s="88"/>
      <c r="ABQ114" s="88"/>
      <c r="ABR114" s="88"/>
      <c r="ABS114" s="88"/>
      <c r="ABT114" s="88"/>
      <c r="ABU114" s="88"/>
      <c r="ABV114" s="88"/>
      <c r="ABW114" s="88"/>
      <c r="ABX114" s="88"/>
      <c r="ABY114" s="88"/>
      <c r="ABZ114" s="88"/>
      <c r="ACA114" s="88"/>
      <c r="ACB114" s="88"/>
      <c r="ACC114" s="88"/>
      <c r="ACD114" s="88"/>
      <c r="ACE114" s="88"/>
      <c r="ACF114" s="88"/>
      <c r="ACG114" s="88"/>
      <c r="ACH114" s="88"/>
      <c r="ACI114" s="88"/>
      <c r="ACJ114" s="88"/>
      <c r="ACK114" s="88"/>
      <c r="ACL114" s="88"/>
      <c r="ACM114" s="88"/>
      <c r="ACN114" s="88"/>
      <c r="ACO114" s="88"/>
      <c r="ACP114" s="88"/>
      <c r="ACQ114" s="88"/>
      <c r="ACR114" s="88"/>
      <c r="ACS114" s="88"/>
      <c r="ACT114" s="88"/>
      <c r="ACU114" s="88"/>
      <c r="ACV114" s="88"/>
      <c r="ACW114" s="88"/>
      <c r="ACX114" s="88"/>
      <c r="ACY114" s="88"/>
      <c r="ACZ114" s="88"/>
      <c r="ADA114" s="88"/>
      <c r="ADB114" s="88"/>
      <c r="ADC114" s="88"/>
      <c r="ADD114" s="88"/>
      <c r="ADE114" s="88"/>
      <c r="ADF114" s="88"/>
      <c r="ADG114" s="88"/>
      <c r="ADH114" s="88"/>
      <c r="ADI114" s="88"/>
      <c r="ADJ114" s="88"/>
      <c r="ADK114" s="88"/>
      <c r="ADL114" s="88"/>
      <c r="ADM114" s="88"/>
      <c r="ADN114" s="88"/>
      <c r="ADO114" s="88"/>
      <c r="ADP114" s="88"/>
      <c r="ADQ114" s="88"/>
      <c r="ADR114" s="88"/>
      <c r="ADS114" s="88"/>
      <c r="ADT114" s="88"/>
      <c r="ADU114" s="88"/>
      <c r="ADV114" s="88"/>
      <c r="ADW114" s="88"/>
      <c r="ADX114" s="88"/>
      <c r="ADY114" s="88"/>
      <c r="ADZ114" s="88"/>
      <c r="AEA114" s="88"/>
      <c r="AEB114" s="88"/>
      <c r="AEC114" s="88"/>
      <c r="AED114" s="88"/>
      <c r="AEE114" s="88"/>
      <c r="AEF114" s="88"/>
      <c r="AEG114" s="88"/>
      <c r="AEH114" s="88"/>
      <c r="AEI114" s="88"/>
      <c r="AEJ114" s="88"/>
      <c r="AEK114" s="88"/>
      <c r="AEL114" s="88"/>
      <c r="AEM114" s="88"/>
      <c r="AEN114" s="88"/>
      <c r="AEO114" s="88"/>
      <c r="AEP114" s="88"/>
      <c r="AEQ114" s="88"/>
      <c r="AER114" s="88"/>
      <c r="AES114" s="88"/>
      <c r="AET114" s="88"/>
      <c r="AEU114" s="88"/>
      <c r="AEV114" s="88"/>
      <c r="AEW114" s="88"/>
      <c r="AEX114" s="88"/>
      <c r="AEY114" s="88"/>
      <c r="AEZ114" s="88"/>
      <c r="AFA114" s="88"/>
      <c r="AFB114" s="88"/>
      <c r="AFC114" s="88"/>
      <c r="AFD114" s="88"/>
      <c r="AFE114" s="88"/>
      <c r="AFF114" s="88"/>
      <c r="AFG114" s="88"/>
      <c r="AFH114" s="88"/>
      <c r="AFI114" s="88"/>
      <c r="AFJ114" s="88"/>
      <c r="AFK114" s="88"/>
      <c r="AFL114" s="88"/>
      <c r="AFM114" s="88"/>
      <c r="AFN114" s="88"/>
      <c r="AFO114" s="88"/>
      <c r="AFP114" s="88"/>
      <c r="AFQ114" s="88"/>
      <c r="AFR114" s="88"/>
      <c r="AFS114" s="88"/>
      <c r="AFT114" s="88"/>
      <c r="AFU114" s="88"/>
      <c r="AFV114" s="88"/>
      <c r="AFW114" s="88"/>
      <c r="AFX114" s="88"/>
      <c r="AFY114" s="88"/>
      <c r="AFZ114" s="88"/>
      <c r="AGA114" s="88"/>
      <c r="AGB114" s="88"/>
      <c r="AGC114" s="88"/>
      <c r="AGD114" s="88"/>
      <c r="AGE114" s="88"/>
      <c r="AGF114" s="88"/>
      <c r="AGG114" s="88"/>
      <c r="AGH114" s="88"/>
      <c r="AGI114" s="88"/>
      <c r="AGJ114" s="88"/>
      <c r="AGK114" s="88"/>
      <c r="AGL114" s="88"/>
      <c r="AGM114" s="88"/>
      <c r="AGN114" s="88"/>
      <c r="AGO114" s="88"/>
      <c r="AGP114" s="88"/>
      <c r="AGQ114" s="88"/>
      <c r="AGR114" s="88"/>
      <c r="AGS114" s="88"/>
      <c r="AGT114" s="88"/>
      <c r="AGU114" s="88"/>
      <c r="AGV114" s="88"/>
      <c r="AGW114" s="88"/>
      <c r="AGX114" s="88"/>
      <c r="AGY114" s="88"/>
      <c r="AGZ114" s="88"/>
      <c r="AHA114" s="88"/>
      <c r="AHB114" s="88"/>
      <c r="AHC114" s="88"/>
      <c r="AHD114" s="88"/>
      <c r="AHE114" s="88"/>
      <c r="AHF114" s="88"/>
      <c r="AHG114" s="88"/>
      <c r="AHH114" s="88"/>
      <c r="AHI114" s="88"/>
      <c r="AHJ114" s="88"/>
      <c r="AHK114" s="88"/>
      <c r="AHL114" s="88"/>
      <c r="AHM114" s="88"/>
      <c r="AHN114" s="88"/>
      <c r="AHO114" s="88"/>
      <c r="AHP114" s="88"/>
      <c r="AHQ114" s="88"/>
      <c r="AHR114" s="88"/>
      <c r="AHS114" s="88"/>
      <c r="AHT114" s="88"/>
      <c r="AHU114" s="88"/>
      <c r="AHV114" s="88"/>
      <c r="AHW114" s="88"/>
      <c r="AHX114" s="88"/>
      <c r="AHY114" s="88"/>
      <c r="AHZ114" s="88"/>
      <c r="AIA114" s="88"/>
      <c r="AIB114" s="88"/>
      <c r="AIC114" s="88"/>
      <c r="AID114" s="88"/>
      <c r="AIE114" s="88"/>
      <c r="AIF114" s="88"/>
      <c r="AIG114" s="88"/>
      <c r="AIH114" s="88"/>
      <c r="AII114" s="88"/>
      <c r="AIJ114" s="88"/>
      <c r="AIK114" s="88"/>
      <c r="AIL114" s="88"/>
      <c r="AIM114" s="88"/>
      <c r="AIN114" s="88"/>
      <c r="AIO114" s="88"/>
      <c r="AIP114" s="88"/>
      <c r="AIQ114" s="88"/>
      <c r="AIR114" s="88"/>
      <c r="AIS114" s="88"/>
      <c r="AIT114" s="88"/>
      <c r="AIU114" s="88"/>
      <c r="AIV114" s="88"/>
      <c r="AIW114" s="88"/>
      <c r="AIX114" s="88"/>
      <c r="AIY114" s="88"/>
      <c r="AIZ114" s="88"/>
      <c r="AJA114" s="88"/>
      <c r="AJB114" s="88"/>
      <c r="AJC114" s="88"/>
      <c r="AJD114" s="88"/>
      <c r="AJE114" s="88"/>
      <c r="AJF114" s="88"/>
      <c r="AJG114" s="88"/>
      <c r="AJH114" s="88"/>
      <c r="AJI114" s="88"/>
      <c r="AJJ114" s="88"/>
      <c r="AJK114" s="88"/>
      <c r="AJL114" s="88"/>
      <c r="AJM114" s="88"/>
      <c r="AJN114" s="88"/>
      <c r="AJO114" s="88"/>
      <c r="AJP114" s="88"/>
      <c r="AJQ114" s="88"/>
      <c r="AJR114" s="88"/>
      <c r="AJS114" s="88"/>
      <c r="AJT114" s="88"/>
      <c r="AJU114" s="88"/>
      <c r="AJV114" s="88"/>
      <c r="AJW114" s="88"/>
      <c r="AJX114" s="88"/>
      <c r="AJY114" s="88"/>
      <c r="AJZ114" s="88"/>
      <c r="AKA114" s="88"/>
      <c r="AKB114" s="88"/>
      <c r="AKC114" s="88"/>
      <c r="AKD114" s="88"/>
      <c r="AKE114" s="88"/>
      <c r="AKF114" s="88"/>
      <c r="AKG114" s="88"/>
      <c r="AKH114" s="88"/>
      <c r="AKI114" s="88"/>
      <c r="AKJ114" s="88"/>
      <c r="AKK114" s="88"/>
      <c r="AKL114" s="88"/>
      <c r="AKM114" s="88"/>
      <c r="AKN114" s="88"/>
      <c r="AKO114" s="88"/>
      <c r="AKP114" s="88"/>
      <c r="AKQ114" s="88"/>
      <c r="AKR114" s="88"/>
      <c r="AKS114" s="88"/>
      <c r="AKT114" s="88"/>
      <c r="AKU114" s="88"/>
      <c r="AKV114" s="88"/>
      <c r="AKW114" s="88"/>
      <c r="AKX114" s="88"/>
      <c r="AKY114" s="88"/>
      <c r="AKZ114" s="88"/>
      <c r="ALA114" s="88"/>
      <c r="ALB114" s="88"/>
      <c r="ALC114" s="88"/>
      <c r="ALD114" s="88"/>
      <c r="ALE114" s="88"/>
      <c r="ALF114" s="88"/>
      <c r="ALG114" s="88"/>
      <c r="ALH114" s="88"/>
      <c r="ALI114" s="88"/>
      <c r="ALJ114" s="88"/>
      <c r="ALK114" s="88"/>
      <c r="ALL114" s="88"/>
      <c r="ALM114" s="88"/>
      <c r="ALN114" s="88"/>
      <c r="ALO114" s="88"/>
      <c r="ALP114" s="88"/>
      <c r="ALQ114" s="88"/>
      <c r="ALR114" s="88"/>
      <c r="ALS114" s="88"/>
      <c r="ALT114" s="88"/>
      <c r="ALU114" s="88"/>
      <c r="ALV114" s="88"/>
      <c r="ALW114" s="88"/>
      <c r="ALX114" s="88"/>
      <c r="ALY114" s="88"/>
      <c r="ALZ114" s="88"/>
      <c r="AMA114" s="88"/>
      <c r="AMB114" s="88"/>
      <c r="AMC114" s="88"/>
      <c r="AMD114" s="88"/>
      <c r="AME114" s="88"/>
      <c r="AMF114" s="88"/>
      <c r="AMG114" s="88"/>
      <c r="AMH114" s="88"/>
      <c r="AMI114" s="88"/>
      <c r="AMJ114" s="88"/>
      <c r="AMK114" s="88"/>
      <c r="AML114" s="88"/>
      <c r="AMM114" s="88"/>
      <c r="AMN114" s="88"/>
      <c r="AMO114" s="88"/>
      <c r="AMP114" s="88"/>
      <c r="AMQ114" s="88"/>
      <c r="AMR114" s="88"/>
      <c r="AMS114" s="88"/>
      <c r="AMT114" s="88"/>
      <c r="AMU114" s="88"/>
      <c r="AMV114" s="88"/>
      <c r="AMW114" s="88"/>
      <c r="AMX114" s="88"/>
    </row>
    <row r="115" spans="1:1038" s="4" customFormat="1" ht="27.4" customHeight="1" x14ac:dyDescent="0.4">
      <c r="A115" s="18">
        <v>84</v>
      </c>
      <c r="B115" s="58" t="s">
        <v>322</v>
      </c>
      <c r="C115" s="20" t="s">
        <v>278</v>
      </c>
      <c r="D115" s="59" t="s">
        <v>145</v>
      </c>
      <c r="E115" s="59"/>
      <c r="F115" s="59" t="s">
        <v>153</v>
      </c>
      <c r="G115" s="78"/>
      <c r="H115" s="69">
        <v>46203</v>
      </c>
      <c r="I115" s="21"/>
      <c r="J115" s="42"/>
      <c r="K115" s="187"/>
      <c r="L115" s="42"/>
      <c r="M115" s="42"/>
      <c r="N115" s="207"/>
      <c r="O115" s="61">
        <v>0</v>
      </c>
      <c r="P115" s="60">
        <v>104000</v>
      </c>
      <c r="Q115" s="61"/>
      <c r="R115" s="60"/>
      <c r="S115" s="61"/>
      <c r="T115" s="62"/>
      <c r="U115" s="62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  <c r="AH115" s="88"/>
      <c r="AI115" s="88"/>
      <c r="AJ115" s="88"/>
      <c r="AK115" s="88"/>
      <c r="AL115" s="88"/>
      <c r="AM115" s="88"/>
      <c r="AN115" s="88"/>
      <c r="AO115" s="88"/>
      <c r="AP115" s="88"/>
      <c r="AQ115" s="88"/>
      <c r="AR115" s="88"/>
      <c r="AS115" s="88"/>
      <c r="AT115" s="88"/>
      <c r="AU115" s="88"/>
      <c r="AV115" s="88"/>
      <c r="AW115" s="88"/>
      <c r="AX115" s="88"/>
      <c r="AY115" s="88"/>
      <c r="AZ115" s="88"/>
      <c r="BA115" s="88"/>
      <c r="BB115" s="88"/>
      <c r="BC115" s="88"/>
      <c r="BD115" s="88"/>
      <c r="BE115" s="88"/>
      <c r="BF115" s="88"/>
      <c r="BG115" s="88"/>
      <c r="BH115" s="88"/>
      <c r="BI115" s="88"/>
      <c r="BJ115" s="88"/>
      <c r="BK115" s="88"/>
      <c r="BL115" s="88"/>
      <c r="BM115" s="88"/>
      <c r="BN115" s="88"/>
      <c r="BO115" s="88"/>
      <c r="BP115" s="88"/>
      <c r="BQ115" s="88"/>
      <c r="BR115" s="88"/>
      <c r="BS115" s="88"/>
      <c r="BT115" s="88"/>
      <c r="BU115" s="88"/>
      <c r="BV115" s="88"/>
      <c r="BW115" s="88"/>
      <c r="BX115" s="88"/>
      <c r="BY115" s="88"/>
      <c r="BZ115" s="88"/>
      <c r="CA115" s="88"/>
      <c r="CB115" s="88"/>
      <c r="CC115" s="88"/>
      <c r="CD115" s="88"/>
      <c r="CE115" s="88"/>
      <c r="CF115" s="88"/>
      <c r="CG115" s="88"/>
      <c r="CH115" s="88"/>
      <c r="CI115" s="88"/>
      <c r="CJ115" s="88"/>
      <c r="CK115" s="88"/>
      <c r="CL115" s="88"/>
      <c r="CM115" s="88"/>
      <c r="CN115" s="88"/>
      <c r="CO115" s="88"/>
      <c r="CP115" s="88"/>
      <c r="CQ115" s="88"/>
      <c r="CR115" s="88"/>
      <c r="CS115" s="88"/>
      <c r="CT115" s="88"/>
      <c r="CU115" s="88"/>
      <c r="CV115" s="88"/>
      <c r="CW115" s="88"/>
      <c r="CX115" s="88"/>
      <c r="CY115" s="88"/>
      <c r="CZ115" s="88"/>
      <c r="DA115" s="88"/>
      <c r="DB115" s="88"/>
      <c r="DC115" s="88"/>
      <c r="DD115" s="88"/>
      <c r="DE115" s="88"/>
      <c r="DF115" s="88"/>
      <c r="DG115" s="88"/>
      <c r="DH115" s="88"/>
      <c r="DI115" s="88"/>
      <c r="DJ115" s="88"/>
      <c r="DK115" s="88"/>
      <c r="DL115" s="88"/>
      <c r="DM115" s="88"/>
      <c r="DN115" s="88"/>
      <c r="DO115" s="88"/>
      <c r="DP115" s="88"/>
      <c r="DQ115" s="88"/>
      <c r="DR115" s="88"/>
      <c r="DS115" s="88"/>
      <c r="DT115" s="88"/>
      <c r="DU115" s="88"/>
      <c r="DV115" s="88"/>
      <c r="DW115" s="88"/>
      <c r="DX115" s="88"/>
      <c r="DY115" s="88"/>
      <c r="DZ115" s="88"/>
      <c r="EA115" s="88"/>
      <c r="EB115" s="88"/>
      <c r="EC115" s="88"/>
      <c r="ED115" s="88"/>
      <c r="EE115" s="88"/>
      <c r="EF115" s="88"/>
      <c r="EG115" s="88"/>
      <c r="EH115" s="88"/>
      <c r="EI115" s="88"/>
      <c r="EJ115" s="88"/>
      <c r="EK115" s="88"/>
      <c r="EL115" s="88"/>
      <c r="EM115" s="88"/>
      <c r="EN115" s="88"/>
      <c r="EO115" s="88"/>
      <c r="EP115" s="88"/>
      <c r="EQ115" s="88"/>
      <c r="ER115" s="88"/>
      <c r="ES115" s="88"/>
      <c r="ET115" s="88"/>
      <c r="EU115" s="88"/>
      <c r="EV115" s="88"/>
      <c r="EW115" s="88"/>
      <c r="EX115" s="88"/>
      <c r="EY115" s="88"/>
      <c r="EZ115" s="88"/>
      <c r="FA115" s="88"/>
      <c r="FB115" s="88"/>
      <c r="FC115" s="88"/>
      <c r="FD115" s="88"/>
      <c r="FE115" s="88"/>
      <c r="FF115" s="88"/>
      <c r="FG115" s="88"/>
      <c r="FH115" s="88"/>
      <c r="FI115" s="88"/>
      <c r="FJ115" s="88"/>
      <c r="FK115" s="88"/>
      <c r="FL115" s="88"/>
      <c r="FM115" s="88"/>
      <c r="FN115" s="88"/>
      <c r="FO115" s="88"/>
      <c r="FP115" s="88"/>
      <c r="FQ115" s="88"/>
      <c r="FR115" s="88"/>
      <c r="FS115" s="88"/>
      <c r="FT115" s="88"/>
      <c r="FU115" s="88"/>
      <c r="FV115" s="88"/>
      <c r="FW115" s="88"/>
      <c r="FX115" s="88"/>
      <c r="FY115" s="88"/>
      <c r="FZ115" s="88"/>
      <c r="GA115" s="88"/>
      <c r="GB115" s="88"/>
      <c r="GC115" s="88"/>
      <c r="GD115" s="88"/>
      <c r="GE115" s="88"/>
      <c r="GF115" s="88"/>
      <c r="GG115" s="88"/>
      <c r="GH115" s="88"/>
      <c r="GI115" s="88"/>
      <c r="GJ115" s="88"/>
      <c r="GK115" s="88"/>
      <c r="GL115" s="88"/>
      <c r="GM115" s="88"/>
      <c r="GN115" s="88"/>
      <c r="GO115" s="88"/>
      <c r="GP115" s="88"/>
      <c r="GQ115" s="88"/>
      <c r="GR115" s="88"/>
      <c r="GS115" s="88"/>
      <c r="GT115" s="88"/>
      <c r="GU115" s="88"/>
      <c r="GV115" s="88"/>
      <c r="GW115" s="88"/>
      <c r="GX115" s="88"/>
      <c r="GY115" s="88"/>
      <c r="GZ115" s="88"/>
      <c r="HA115" s="88"/>
      <c r="HB115" s="88"/>
      <c r="HC115" s="88"/>
      <c r="HD115" s="88"/>
      <c r="HE115" s="88"/>
      <c r="HF115" s="88"/>
      <c r="HG115" s="88"/>
      <c r="HH115" s="88"/>
      <c r="HI115" s="88"/>
      <c r="HJ115" s="88"/>
      <c r="HK115" s="88"/>
      <c r="HL115" s="88"/>
      <c r="HM115" s="88"/>
      <c r="HN115" s="88"/>
      <c r="HO115" s="88"/>
      <c r="HP115" s="88"/>
      <c r="HQ115" s="88"/>
      <c r="HR115" s="88"/>
      <c r="HS115" s="88"/>
      <c r="HT115" s="88"/>
      <c r="HU115" s="88"/>
      <c r="HV115" s="88"/>
      <c r="HW115" s="88"/>
      <c r="HX115" s="88"/>
      <c r="HY115" s="88"/>
      <c r="HZ115" s="88"/>
      <c r="IA115" s="88"/>
      <c r="IB115" s="88"/>
      <c r="IC115" s="88"/>
      <c r="ID115" s="88"/>
      <c r="IE115" s="88"/>
      <c r="IF115" s="88"/>
      <c r="IG115" s="88"/>
      <c r="IH115" s="88"/>
      <c r="II115" s="88"/>
      <c r="IJ115" s="88"/>
      <c r="IK115" s="88"/>
      <c r="IL115" s="88"/>
      <c r="IM115" s="88"/>
      <c r="IN115" s="88"/>
      <c r="IO115" s="88"/>
      <c r="IP115" s="88"/>
      <c r="IQ115" s="88"/>
      <c r="IR115" s="88"/>
      <c r="IS115" s="88"/>
      <c r="IT115" s="88"/>
      <c r="IU115" s="88"/>
      <c r="IV115" s="88"/>
      <c r="IW115" s="88"/>
      <c r="IX115" s="88"/>
      <c r="IY115" s="88"/>
      <c r="IZ115" s="88"/>
      <c r="JA115" s="88"/>
      <c r="JB115" s="88"/>
      <c r="JC115" s="88"/>
      <c r="JD115" s="88"/>
      <c r="JE115" s="88"/>
      <c r="JF115" s="88"/>
      <c r="JG115" s="88"/>
      <c r="JH115" s="88"/>
      <c r="JI115" s="88"/>
      <c r="JJ115" s="88"/>
      <c r="JK115" s="88"/>
      <c r="JL115" s="88"/>
      <c r="JM115" s="88"/>
      <c r="JN115" s="88"/>
      <c r="JO115" s="88"/>
      <c r="JP115" s="88"/>
      <c r="JQ115" s="88"/>
      <c r="JR115" s="88"/>
      <c r="JS115" s="88"/>
      <c r="JT115" s="88"/>
      <c r="JU115" s="88"/>
      <c r="JV115" s="88"/>
      <c r="JW115" s="88"/>
      <c r="JX115" s="88"/>
      <c r="JY115" s="88"/>
      <c r="JZ115" s="88"/>
      <c r="KA115" s="88"/>
      <c r="KB115" s="88"/>
      <c r="KC115" s="88"/>
      <c r="KD115" s="88"/>
      <c r="KE115" s="88"/>
      <c r="KF115" s="88"/>
      <c r="KG115" s="88"/>
      <c r="KH115" s="88"/>
      <c r="KI115" s="88"/>
      <c r="KJ115" s="88"/>
      <c r="KK115" s="88"/>
      <c r="KL115" s="88"/>
      <c r="KM115" s="88"/>
      <c r="KN115" s="88"/>
      <c r="KO115" s="88"/>
      <c r="KP115" s="88"/>
      <c r="KQ115" s="88"/>
      <c r="KR115" s="88"/>
      <c r="KS115" s="88"/>
      <c r="KT115" s="88"/>
      <c r="KU115" s="88"/>
      <c r="KV115" s="88"/>
      <c r="KW115" s="88"/>
      <c r="KX115" s="88"/>
      <c r="KY115" s="88"/>
      <c r="KZ115" s="88"/>
      <c r="LA115" s="88"/>
      <c r="LB115" s="88"/>
      <c r="LC115" s="88"/>
      <c r="LD115" s="88"/>
      <c r="LE115" s="88"/>
      <c r="LF115" s="88"/>
      <c r="LG115" s="88"/>
      <c r="LH115" s="88"/>
      <c r="LI115" s="88"/>
      <c r="LJ115" s="88"/>
      <c r="LK115" s="88"/>
      <c r="LL115" s="88"/>
      <c r="LM115" s="88"/>
      <c r="LN115" s="88"/>
      <c r="LO115" s="88"/>
      <c r="LP115" s="88"/>
      <c r="LQ115" s="88"/>
      <c r="LR115" s="88"/>
      <c r="LS115" s="88"/>
      <c r="LT115" s="88"/>
      <c r="LU115" s="88"/>
      <c r="LV115" s="88"/>
      <c r="LW115" s="88"/>
      <c r="LX115" s="88"/>
      <c r="LY115" s="88"/>
      <c r="LZ115" s="88"/>
      <c r="MA115" s="88"/>
      <c r="MB115" s="88"/>
      <c r="MC115" s="88"/>
      <c r="MD115" s="88"/>
      <c r="ME115" s="88"/>
      <c r="MF115" s="88"/>
      <c r="MG115" s="88"/>
      <c r="MH115" s="88"/>
      <c r="MI115" s="88"/>
      <c r="MJ115" s="88"/>
      <c r="MK115" s="88"/>
      <c r="ML115" s="88"/>
      <c r="MM115" s="88"/>
      <c r="MN115" s="88"/>
      <c r="MO115" s="88"/>
      <c r="MP115" s="88"/>
      <c r="MQ115" s="88"/>
      <c r="MR115" s="88"/>
      <c r="MS115" s="88"/>
      <c r="MT115" s="88"/>
      <c r="MU115" s="88"/>
      <c r="MV115" s="88"/>
      <c r="MW115" s="88"/>
      <c r="MX115" s="88"/>
      <c r="MY115" s="88"/>
      <c r="MZ115" s="88"/>
      <c r="NA115" s="88"/>
      <c r="NB115" s="88"/>
      <c r="NC115" s="88"/>
      <c r="ND115" s="88"/>
      <c r="NE115" s="88"/>
      <c r="NF115" s="88"/>
      <c r="NG115" s="88"/>
      <c r="NH115" s="88"/>
      <c r="NI115" s="88"/>
      <c r="NJ115" s="88"/>
      <c r="NK115" s="88"/>
      <c r="NL115" s="88"/>
      <c r="NM115" s="88"/>
      <c r="NN115" s="88"/>
      <c r="NO115" s="88"/>
      <c r="NP115" s="88"/>
      <c r="NQ115" s="88"/>
      <c r="NR115" s="88"/>
      <c r="NS115" s="88"/>
      <c r="NT115" s="88"/>
      <c r="NU115" s="88"/>
      <c r="NV115" s="88"/>
      <c r="NW115" s="88"/>
      <c r="NX115" s="88"/>
      <c r="NY115" s="88"/>
      <c r="NZ115" s="88"/>
      <c r="OA115" s="88"/>
      <c r="OB115" s="88"/>
      <c r="OC115" s="88"/>
      <c r="OD115" s="88"/>
      <c r="OE115" s="88"/>
      <c r="OF115" s="88"/>
      <c r="OG115" s="88"/>
      <c r="OH115" s="88"/>
      <c r="OI115" s="88"/>
      <c r="OJ115" s="88"/>
      <c r="OK115" s="88"/>
      <c r="OL115" s="88"/>
      <c r="OM115" s="88"/>
      <c r="ON115" s="88"/>
      <c r="OO115" s="88"/>
      <c r="OP115" s="88"/>
      <c r="OQ115" s="88"/>
      <c r="OR115" s="88"/>
      <c r="OS115" s="88"/>
      <c r="OT115" s="88"/>
      <c r="OU115" s="88"/>
      <c r="OV115" s="88"/>
      <c r="OW115" s="88"/>
      <c r="OX115" s="88"/>
      <c r="OY115" s="88"/>
      <c r="OZ115" s="88"/>
      <c r="PA115" s="88"/>
      <c r="PB115" s="88"/>
      <c r="PC115" s="88"/>
      <c r="PD115" s="88"/>
      <c r="PE115" s="88"/>
      <c r="PF115" s="88"/>
      <c r="PG115" s="88"/>
      <c r="PH115" s="88"/>
      <c r="PI115" s="88"/>
      <c r="PJ115" s="88"/>
      <c r="PK115" s="88"/>
      <c r="PL115" s="88"/>
      <c r="PM115" s="88"/>
      <c r="PN115" s="88"/>
      <c r="PO115" s="88"/>
      <c r="PP115" s="88"/>
      <c r="PQ115" s="88"/>
      <c r="PR115" s="88"/>
      <c r="PS115" s="88"/>
      <c r="PT115" s="88"/>
      <c r="PU115" s="88"/>
      <c r="PV115" s="88"/>
      <c r="PW115" s="88"/>
      <c r="PX115" s="88"/>
      <c r="PY115" s="88"/>
      <c r="PZ115" s="88"/>
      <c r="QA115" s="88"/>
      <c r="QB115" s="88"/>
      <c r="QC115" s="88"/>
      <c r="QD115" s="88"/>
      <c r="QE115" s="88"/>
      <c r="QF115" s="88"/>
      <c r="QG115" s="88"/>
      <c r="QH115" s="88"/>
      <c r="QI115" s="88"/>
      <c r="QJ115" s="88"/>
      <c r="QK115" s="88"/>
      <c r="QL115" s="88"/>
      <c r="QM115" s="88"/>
      <c r="QN115" s="88"/>
      <c r="QO115" s="88"/>
      <c r="QP115" s="88"/>
      <c r="QQ115" s="88"/>
      <c r="QR115" s="88"/>
      <c r="QS115" s="88"/>
      <c r="QT115" s="88"/>
      <c r="QU115" s="88"/>
      <c r="QV115" s="88"/>
      <c r="QW115" s="88"/>
      <c r="QX115" s="88"/>
      <c r="QY115" s="88"/>
      <c r="QZ115" s="88"/>
      <c r="RA115" s="88"/>
      <c r="RB115" s="88"/>
      <c r="RC115" s="88"/>
      <c r="RD115" s="88"/>
      <c r="RE115" s="88"/>
      <c r="RF115" s="88"/>
      <c r="RG115" s="88"/>
      <c r="RH115" s="88"/>
      <c r="RI115" s="88"/>
      <c r="RJ115" s="88"/>
      <c r="RK115" s="88"/>
      <c r="RL115" s="88"/>
      <c r="RM115" s="88"/>
      <c r="RN115" s="88"/>
      <c r="RO115" s="88"/>
      <c r="RP115" s="88"/>
      <c r="RQ115" s="88"/>
      <c r="RR115" s="88"/>
      <c r="RS115" s="88"/>
      <c r="RT115" s="88"/>
      <c r="RU115" s="88"/>
      <c r="RV115" s="88"/>
      <c r="RW115" s="88"/>
      <c r="RX115" s="88"/>
      <c r="RY115" s="88"/>
      <c r="RZ115" s="88"/>
      <c r="SA115" s="88"/>
      <c r="SB115" s="88"/>
      <c r="SC115" s="88"/>
      <c r="SD115" s="88"/>
      <c r="SE115" s="88"/>
      <c r="SF115" s="88"/>
      <c r="SG115" s="88"/>
      <c r="SH115" s="88"/>
      <c r="SI115" s="88"/>
      <c r="SJ115" s="88"/>
      <c r="SK115" s="88"/>
      <c r="SL115" s="88"/>
      <c r="SM115" s="88"/>
      <c r="SN115" s="88"/>
      <c r="SO115" s="88"/>
      <c r="SP115" s="88"/>
      <c r="SQ115" s="88"/>
      <c r="SR115" s="88"/>
      <c r="SS115" s="88"/>
      <c r="ST115" s="88"/>
      <c r="SU115" s="88"/>
      <c r="SV115" s="88"/>
      <c r="SW115" s="88"/>
      <c r="SX115" s="88"/>
      <c r="SY115" s="88"/>
      <c r="SZ115" s="88"/>
      <c r="TA115" s="88"/>
      <c r="TB115" s="88"/>
      <c r="TC115" s="88"/>
      <c r="TD115" s="88"/>
      <c r="TE115" s="88"/>
      <c r="TF115" s="88"/>
      <c r="TG115" s="88"/>
      <c r="TH115" s="88"/>
      <c r="TI115" s="88"/>
      <c r="TJ115" s="88"/>
      <c r="TK115" s="88"/>
      <c r="TL115" s="88"/>
      <c r="TM115" s="88"/>
      <c r="TN115" s="88"/>
      <c r="TO115" s="88"/>
      <c r="TP115" s="88"/>
      <c r="TQ115" s="88"/>
      <c r="TR115" s="88"/>
      <c r="TS115" s="88"/>
      <c r="TT115" s="88"/>
      <c r="TU115" s="88"/>
      <c r="TV115" s="88"/>
      <c r="TW115" s="88"/>
      <c r="TX115" s="88"/>
      <c r="TY115" s="88"/>
      <c r="TZ115" s="88"/>
      <c r="UA115" s="88"/>
      <c r="UB115" s="88"/>
      <c r="UC115" s="88"/>
      <c r="UD115" s="88"/>
      <c r="UE115" s="88"/>
      <c r="UF115" s="88"/>
      <c r="UG115" s="88"/>
      <c r="UH115" s="88"/>
      <c r="UI115" s="88"/>
      <c r="UJ115" s="88"/>
      <c r="UK115" s="88"/>
      <c r="UL115" s="88"/>
      <c r="UM115" s="88"/>
      <c r="UN115" s="88"/>
      <c r="UO115" s="88"/>
      <c r="UP115" s="88"/>
      <c r="UQ115" s="88"/>
      <c r="UR115" s="88"/>
      <c r="US115" s="88"/>
      <c r="UT115" s="88"/>
      <c r="UU115" s="88"/>
      <c r="UV115" s="88"/>
      <c r="UW115" s="88"/>
      <c r="UX115" s="88"/>
      <c r="UY115" s="88"/>
      <c r="UZ115" s="88"/>
      <c r="VA115" s="88"/>
      <c r="VB115" s="88"/>
      <c r="VC115" s="88"/>
      <c r="VD115" s="88"/>
      <c r="VE115" s="88"/>
      <c r="VF115" s="88"/>
      <c r="VG115" s="88"/>
      <c r="VH115" s="88"/>
      <c r="VI115" s="88"/>
      <c r="VJ115" s="88"/>
      <c r="VK115" s="88"/>
      <c r="VL115" s="88"/>
      <c r="VM115" s="88"/>
      <c r="VN115" s="88"/>
      <c r="VO115" s="88"/>
      <c r="VP115" s="88"/>
      <c r="VQ115" s="88"/>
      <c r="VR115" s="88"/>
      <c r="VS115" s="88"/>
      <c r="VT115" s="88"/>
      <c r="VU115" s="88"/>
      <c r="VV115" s="88"/>
      <c r="VW115" s="88"/>
      <c r="VX115" s="88"/>
      <c r="VY115" s="88"/>
      <c r="VZ115" s="88"/>
      <c r="WA115" s="88"/>
      <c r="WB115" s="88"/>
      <c r="WC115" s="88"/>
      <c r="WD115" s="88"/>
      <c r="WE115" s="88"/>
      <c r="WF115" s="88"/>
      <c r="WG115" s="88"/>
      <c r="WH115" s="88"/>
      <c r="WI115" s="88"/>
      <c r="WJ115" s="88"/>
      <c r="WK115" s="88"/>
      <c r="WL115" s="88"/>
      <c r="WM115" s="88"/>
      <c r="WN115" s="88"/>
      <c r="WO115" s="88"/>
      <c r="WP115" s="88"/>
      <c r="WQ115" s="88"/>
      <c r="WR115" s="88"/>
      <c r="WS115" s="88"/>
      <c r="WT115" s="88"/>
      <c r="WU115" s="88"/>
      <c r="WV115" s="88"/>
      <c r="WW115" s="88"/>
      <c r="WX115" s="88"/>
      <c r="WY115" s="88"/>
      <c r="WZ115" s="88"/>
      <c r="XA115" s="88"/>
      <c r="XB115" s="88"/>
      <c r="XC115" s="88"/>
      <c r="XD115" s="88"/>
      <c r="XE115" s="88"/>
      <c r="XF115" s="88"/>
      <c r="XG115" s="88"/>
      <c r="XH115" s="88"/>
      <c r="XI115" s="88"/>
      <c r="XJ115" s="88"/>
      <c r="XK115" s="88"/>
      <c r="XL115" s="88"/>
      <c r="XM115" s="88"/>
      <c r="XN115" s="88"/>
      <c r="XO115" s="88"/>
      <c r="XP115" s="88"/>
      <c r="XQ115" s="88"/>
      <c r="XR115" s="88"/>
      <c r="XS115" s="88"/>
      <c r="XT115" s="88"/>
      <c r="XU115" s="88"/>
      <c r="XV115" s="88"/>
      <c r="XW115" s="88"/>
      <c r="XX115" s="88"/>
      <c r="XY115" s="88"/>
      <c r="XZ115" s="88"/>
      <c r="YA115" s="88"/>
      <c r="YB115" s="88"/>
      <c r="YC115" s="88"/>
      <c r="YD115" s="88"/>
      <c r="YE115" s="88"/>
      <c r="YF115" s="88"/>
      <c r="YG115" s="88"/>
      <c r="YH115" s="88"/>
      <c r="YI115" s="88"/>
      <c r="YJ115" s="88"/>
      <c r="YK115" s="88"/>
      <c r="YL115" s="88"/>
      <c r="YM115" s="88"/>
      <c r="YN115" s="88"/>
      <c r="YO115" s="88"/>
      <c r="YP115" s="88"/>
      <c r="YQ115" s="88"/>
      <c r="YR115" s="88"/>
      <c r="YS115" s="88"/>
      <c r="YT115" s="88"/>
      <c r="YU115" s="88"/>
      <c r="YV115" s="88"/>
      <c r="YW115" s="88"/>
      <c r="YX115" s="88"/>
      <c r="YY115" s="88"/>
      <c r="YZ115" s="88"/>
      <c r="ZA115" s="88"/>
      <c r="ZB115" s="88"/>
      <c r="ZC115" s="88"/>
      <c r="ZD115" s="88"/>
      <c r="ZE115" s="88"/>
      <c r="ZF115" s="88"/>
      <c r="ZG115" s="88"/>
      <c r="ZH115" s="88"/>
      <c r="ZI115" s="88"/>
      <c r="ZJ115" s="88"/>
      <c r="ZK115" s="88"/>
      <c r="ZL115" s="88"/>
      <c r="ZM115" s="88"/>
      <c r="ZN115" s="88"/>
      <c r="ZO115" s="88"/>
      <c r="ZP115" s="88"/>
      <c r="ZQ115" s="88"/>
      <c r="ZR115" s="88"/>
      <c r="ZS115" s="88"/>
      <c r="ZT115" s="88"/>
      <c r="ZU115" s="88"/>
      <c r="ZV115" s="88"/>
      <c r="ZW115" s="88"/>
      <c r="ZX115" s="88"/>
      <c r="ZY115" s="88"/>
      <c r="ZZ115" s="88"/>
      <c r="AAA115" s="88"/>
      <c r="AAB115" s="88"/>
      <c r="AAC115" s="88"/>
      <c r="AAD115" s="88"/>
      <c r="AAE115" s="88"/>
      <c r="AAF115" s="88"/>
      <c r="AAG115" s="88"/>
      <c r="AAH115" s="88"/>
      <c r="AAI115" s="88"/>
      <c r="AAJ115" s="88"/>
      <c r="AAK115" s="88"/>
      <c r="AAL115" s="88"/>
      <c r="AAM115" s="88"/>
      <c r="AAN115" s="88"/>
      <c r="AAO115" s="88"/>
      <c r="AAP115" s="88"/>
      <c r="AAQ115" s="88"/>
      <c r="AAR115" s="88"/>
      <c r="AAS115" s="88"/>
      <c r="AAT115" s="88"/>
      <c r="AAU115" s="88"/>
      <c r="AAV115" s="88"/>
      <c r="AAW115" s="88"/>
      <c r="AAX115" s="88"/>
      <c r="AAY115" s="88"/>
      <c r="AAZ115" s="88"/>
      <c r="ABA115" s="88"/>
      <c r="ABB115" s="88"/>
      <c r="ABC115" s="88"/>
      <c r="ABD115" s="88"/>
      <c r="ABE115" s="88"/>
      <c r="ABF115" s="88"/>
      <c r="ABG115" s="88"/>
      <c r="ABH115" s="88"/>
      <c r="ABI115" s="88"/>
      <c r="ABJ115" s="88"/>
      <c r="ABK115" s="88"/>
      <c r="ABL115" s="88"/>
      <c r="ABM115" s="88"/>
      <c r="ABN115" s="88"/>
      <c r="ABO115" s="88"/>
      <c r="ABP115" s="88"/>
      <c r="ABQ115" s="88"/>
      <c r="ABR115" s="88"/>
      <c r="ABS115" s="88"/>
      <c r="ABT115" s="88"/>
      <c r="ABU115" s="88"/>
      <c r="ABV115" s="88"/>
      <c r="ABW115" s="88"/>
      <c r="ABX115" s="88"/>
      <c r="ABY115" s="88"/>
      <c r="ABZ115" s="88"/>
      <c r="ACA115" s="88"/>
      <c r="ACB115" s="88"/>
      <c r="ACC115" s="88"/>
      <c r="ACD115" s="88"/>
      <c r="ACE115" s="88"/>
      <c r="ACF115" s="88"/>
      <c r="ACG115" s="88"/>
      <c r="ACH115" s="88"/>
      <c r="ACI115" s="88"/>
      <c r="ACJ115" s="88"/>
      <c r="ACK115" s="88"/>
      <c r="ACL115" s="88"/>
      <c r="ACM115" s="88"/>
      <c r="ACN115" s="88"/>
      <c r="ACO115" s="88"/>
      <c r="ACP115" s="88"/>
      <c r="ACQ115" s="88"/>
      <c r="ACR115" s="88"/>
      <c r="ACS115" s="88"/>
      <c r="ACT115" s="88"/>
      <c r="ACU115" s="88"/>
      <c r="ACV115" s="88"/>
      <c r="ACW115" s="88"/>
      <c r="ACX115" s="88"/>
      <c r="ACY115" s="88"/>
      <c r="ACZ115" s="88"/>
      <c r="ADA115" s="88"/>
      <c r="ADB115" s="88"/>
      <c r="ADC115" s="88"/>
      <c r="ADD115" s="88"/>
      <c r="ADE115" s="88"/>
      <c r="ADF115" s="88"/>
      <c r="ADG115" s="88"/>
      <c r="ADH115" s="88"/>
      <c r="ADI115" s="88"/>
      <c r="ADJ115" s="88"/>
      <c r="ADK115" s="88"/>
      <c r="ADL115" s="88"/>
      <c r="ADM115" s="88"/>
      <c r="ADN115" s="88"/>
      <c r="ADO115" s="88"/>
      <c r="ADP115" s="88"/>
      <c r="ADQ115" s="88"/>
      <c r="ADR115" s="88"/>
      <c r="ADS115" s="88"/>
      <c r="ADT115" s="88"/>
      <c r="ADU115" s="88"/>
      <c r="ADV115" s="88"/>
      <c r="ADW115" s="88"/>
      <c r="ADX115" s="88"/>
      <c r="ADY115" s="88"/>
      <c r="ADZ115" s="88"/>
      <c r="AEA115" s="88"/>
      <c r="AEB115" s="88"/>
      <c r="AEC115" s="88"/>
      <c r="AED115" s="88"/>
      <c r="AEE115" s="88"/>
      <c r="AEF115" s="88"/>
      <c r="AEG115" s="88"/>
      <c r="AEH115" s="88"/>
      <c r="AEI115" s="88"/>
      <c r="AEJ115" s="88"/>
      <c r="AEK115" s="88"/>
      <c r="AEL115" s="88"/>
      <c r="AEM115" s="88"/>
      <c r="AEN115" s="88"/>
      <c r="AEO115" s="88"/>
      <c r="AEP115" s="88"/>
      <c r="AEQ115" s="88"/>
      <c r="AER115" s="88"/>
      <c r="AES115" s="88"/>
      <c r="AET115" s="88"/>
      <c r="AEU115" s="88"/>
      <c r="AEV115" s="88"/>
      <c r="AEW115" s="88"/>
      <c r="AEX115" s="88"/>
      <c r="AEY115" s="88"/>
      <c r="AEZ115" s="88"/>
      <c r="AFA115" s="88"/>
      <c r="AFB115" s="88"/>
      <c r="AFC115" s="88"/>
      <c r="AFD115" s="88"/>
      <c r="AFE115" s="88"/>
      <c r="AFF115" s="88"/>
      <c r="AFG115" s="88"/>
      <c r="AFH115" s="88"/>
      <c r="AFI115" s="88"/>
      <c r="AFJ115" s="88"/>
      <c r="AFK115" s="88"/>
      <c r="AFL115" s="88"/>
      <c r="AFM115" s="88"/>
      <c r="AFN115" s="88"/>
      <c r="AFO115" s="88"/>
      <c r="AFP115" s="88"/>
      <c r="AFQ115" s="88"/>
      <c r="AFR115" s="88"/>
      <c r="AFS115" s="88"/>
      <c r="AFT115" s="88"/>
      <c r="AFU115" s="88"/>
      <c r="AFV115" s="88"/>
      <c r="AFW115" s="88"/>
      <c r="AFX115" s="88"/>
      <c r="AFY115" s="88"/>
      <c r="AFZ115" s="88"/>
      <c r="AGA115" s="88"/>
      <c r="AGB115" s="88"/>
      <c r="AGC115" s="88"/>
      <c r="AGD115" s="88"/>
      <c r="AGE115" s="88"/>
      <c r="AGF115" s="88"/>
      <c r="AGG115" s="88"/>
      <c r="AGH115" s="88"/>
      <c r="AGI115" s="88"/>
      <c r="AGJ115" s="88"/>
      <c r="AGK115" s="88"/>
      <c r="AGL115" s="88"/>
      <c r="AGM115" s="88"/>
      <c r="AGN115" s="88"/>
      <c r="AGO115" s="88"/>
      <c r="AGP115" s="88"/>
      <c r="AGQ115" s="88"/>
      <c r="AGR115" s="88"/>
      <c r="AGS115" s="88"/>
      <c r="AGT115" s="88"/>
      <c r="AGU115" s="88"/>
      <c r="AGV115" s="88"/>
      <c r="AGW115" s="88"/>
      <c r="AGX115" s="88"/>
      <c r="AGY115" s="88"/>
      <c r="AGZ115" s="88"/>
      <c r="AHA115" s="88"/>
      <c r="AHB115" s="88"/>
      <c r="AHC115" s="88"/>
      <c r="AHD115" s="88"/>
      <c r="AHE115" s="88"/>
      <c r="AHF115" s="88"/>
      <c r="AHG115" s="88"/>
      <c r="AHH115" s="88"/>
      <c r="AHI115" s="88"/>
      <c r="AHJ115" s="88"/>
      <c r="AHK115" s="88"/>
      <c r="AHL115" s="88"/>
      <c r="AHM115" s="88"/>
      <c r="AHN115" s="88"/>
      <c r="AHO115" s="88"/>
      <c r="AHP115" s="88"/>
      <c r="AHQ115" s="88"/>
      <c r="AHR115" s="88"/>
      <c r="AHS115" s="88"/>
      <c r="AHT115" s="88"/>
      <c r="AHU115" s="88"/>
      <c r="AHV115" s="88"/>
      <c r="AHW115" s="88"/>
      <c r="AHX115" s="88"/>
      <c r="AHY115" s="88"/>
      <c r="AHZ115" s="88"/>
      <c r="AIA115" s="88"/>
      <c r="AIB115" s="88"/>
      <c r="AIC115" s="88"/>
      <c r="AID115" s="88"/>
      <c r="AIE115" s="88"/>
      <c r="AIF115" s="88"/>
      <c r="AIG115" s="88"/>
      <c r="AIH115" s="88"/>
      <c r="AII115" s="88"/>
      <c r="AIJ115" s="88"/>
      <c r="AIK115" s="88"/>
      <c r="AIL115" s="88"/>
      <c r="AIM115" s="88"/>
      <c r="AIN115" s="88"/>
      <c r="AIO115" s="88"/>
      <c r="AIP115" s="88"/>
      <c r="AIQ115" s="88"/>
      <c r="AIR115" s="88"/>
      <c r="AIS115" s="88"/>
      <c r="AIT115" s="88"/>
      <c r="AIU115" s="88"/>
      <c r="AIV115" s="88"/>
      <c r="AIW115" s="88"/>
      <c r="AIX115" s="88"/>
      <c r="AIY115" s="88"/>
      <c r="AIZ115" s="88"/>
      <c r="AJA115" s="88"/>
      <c r="AJB115" s="88"/>
      <c r="AJC115" s="88"/>
      <c r="AJD115" s="88"/>
      <c r="AJE115" s="88"/>
      <c r="AJF115" s="88"/>
      <c r="AJG115" s="88"/>
      <c r="AJH115" s="88"/>
      <c r="AJI115" s="88"/>
      <c r="AJJ115" s="88"/>
      <c r="AJK115" s="88"/>
      <c r="AJL115" s="88"/>
      <c r="AJM115" s="88"/>
      <c r="AJN115" s="88"/>
      <c r="AJO115" s="88"/>
      <c r="AJP115" s="88"/>
      <c r="AJQ115" s="88"/>
      <c r="AJR115" s="88"/>
      <c r="AJS115" s="88"/>
      <c r="AJT115" s="88"/>
      <c r="AJU115" s="88"/>
      <c r="AJV115" s="88"/>
      <c r="AJW115" s="88"/>
      <c r="AJX115" s="88"/>
      <c r="AJY115" s="88"/>
      <c r="AJZ115" s="88"/>
      <c r="AKA115" s="88"/>
      <c r="AKB115" s="88"/>
      <c r="AKC115" s="88"/>
      <c r="AKD115" s="88"/>
      <c r="AKE115" s="88"/>
      <c r="AKF115" s="88"/>
      <c r="AKG115" s="88"/>
      <c r="AKH115" s="88"/>
      <c r="AKI115" s="88"/>
      <c r="AKJ115" s="88"/>
      <c r="AKK115" s="88"/>
      <c r="AKL115" s="88"/>
      <c r="AKM115" s="88"/>
      <c r="AKN115" s="88"/>
      <c r="AKO115" s="88"/>
      <c r="AKP115" s="88"/>
      <c r="AKQ115" s="88"/>
      <c r="AKR115" s="88"/>
      <c r="AKS115" s="88"/>
      <c r="AKT115" s="88"/>
      <c r="AKU115" s="88"/>
      <c r="AKV115" s="88"/>
      <c r="AKW115" s="88"/>
      <c r="AKX115" s="88"/>
      <c r="AKY115" s="88"/>
      <c r="AKZ115" s="88"/>
      <c r="ALA115" s="88"/>
      <c r="ALB115" s="88"/>
      <c r="ALC115" s="88"/>
      <c r="ALD115" s="88"/>
      <c r="ALE115" s="88"/>
      <c r="ALF115" s="88"/>
      <c r="ALG115" s="88"/>
      <c r="ALH115" s="88"/>
      <c r="ALI115" s="88"/>
      <c r="ALJ115" s="88"/>
      <c r="ALK115" s="88"/>
      <c r="ALL115" s="88"/>
      <c r="ALM115" s="88"/>
      <c r="ALN115" s="88"/>
      <c r="ALO115" s="88"/>
      <c r="ALP115" s="88"/>
      <c r="ALQ115" s="88"/>
      <c r="ALR115" s="88"/>
      <c r="ALS115" s="88"/>
      <c r="ALT115" s="88"/>
      <c r="ALU115" s="88"/>
      <c r="ALV115" s="88"/>
      <c r="ALW115" s="88"/>
      <c r="ALX115" s="88"/>
      <c r="ALY115" s="88"/>
      <c r="ALZ115" s="88"/>
      <c r="AMA115" s="88"/>
      <c r="AMB115" s="88"/>
      <c r="AMC115" s="88"/>
      <c r="AMD115" s="88"/>
      <c r="AME115" s="88"/>
      <c r="AMF115" s="88"/>
      <c r="AMG115" s="88"/>
      <c r="AMH115" s="88"/>
      <c r="AMI115" s="88"/>
      <c r="AMJ115" s="88"/>
      <c r="AMK115" s="88"/>
      <c r="AML115" s="88"/>
      <c r="AMM115" s="88"/>
      <c r="AMN115" s="88"/>
      <c r="AMO115" s="88"/>
      <c r="AMP115" s="88"/>
      <c r="AMQ115" s="88"/>
      <c r="AMR115" s="88"/>
      <c r="AMS115" s="88"/>
      <c r="AMT115" s="88"/>
      <c r="AMU115" s="88"/>
      <c r="AMV115" s="88"/>
      <c r="AMW115" s="88"/>
      <c r="AMX115" s="88"/>
    </row>
    <row r="116" spans="1:1038" s="4" customFormat="1" ht="39.6" customHeight="1" x14ac:dyDescent="0.4">
      <c r="A116" s="18">
        <v>85</v>
      </c>
      <c r="B116" s="58" t="s">
        <v>322</v>
      </c>
      <c r="C116" s="20" t="s">
        <v>279</v>
      </c>
      <c r="D116" s="59" t="s">
        <v>280</v>
      </c>
      <c r="E116" s="59"/>
      <c r="F116" s="59" t="s">
        <v>153</v>
      </c>
      <c r="G116" s="78"/>
      <c r="H116" s="69">
        <v>46203</v>
      </c>
      <c r="I116" s="21"/>
      <c r="J116" s="42"/>
      <c r="K116" s="187"/>
      <c r="L116" s="42"/>
      <c r="M116" s="42"/>
      <c r="N116" s="207">
        <v>329932</v>
      </c>
      <c r="O116" s="61">
        <v>0</v>
      </c>
      <c r="P116" s="60">
        <v>329932</v>
      </c>
      <c r="Q116" s="61"/>
      <c r="R116" s="60"/>
      <c r="S116" s="61"/>
      <c r="T116" s="62"/>
      <c r="U116" s="62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  <c r="AH116" s="88"/>
      <c r="AI116" s="88"/>
      <c r="AJ116" s="88"/>
      <c r="AK116" s="88"/>
      <c r="AL116" s="88"/>
      <c r="AM116" s="88"/>
      <c r="AN116" s="88"/>
      <c r="AO116" s="88"/>
      <c r="AP116" s="88"/>
      <c r="AQ116" s="88"/>
      <c r="AR116" s="88"/>
      <c r="AS116" s="88"/>
      <c r="AT116" s="88"/>
      <c r="AU116" s="88"/>
      <c r="AV116" s="88"/>
      <c r="AW116" s="88"/>
      <c r="AX116" s="88"/>
      <c r="AY116" s="88"/>
      <c r="AZ116" s="88"/>
      <c r="BA116" s="88"/>
      <c r="BB116" s="88"/>
      <c r="BC116" s="88"/>
      <c r="BD116" s="88"/>
      <c r="BE116" s="88"/>
      <c r="BF116" s="88"/>
      <c r="BG116" s="88"/>
      <c r="BH116" s="88"/>
      <c r="BI116" s="88"/>
      <c r="BJ116" s="88"/>
      <c r="BK116" s="88"/>
      <c r="BL116" s="88"/>
      <c r="BM116" s="88"/>
      <c r="BN116" s="88"/>
      <c r="BO116" s="88"/>
      <c r="BP116" s="88"/>
      <c r="BQ116" s="88"/>
      <c r="BR116" s="88"/>
      <c r="BS116" s="88"/>
      <c r="BT116" s="88"/>
      <c r="BU116" s="88"/>
      <c r="BV116" s="88"/>
      <c r="BW116" s="88"/>
      <c r="BX116" s="88"/>
      <c r="BY116" s="88"/>
      <c r="BZ116" s="88"/>
      <c r="CA116" s="88"/>
      <c r="CB116" s="88"/>
      <c r="CC116" s="88"/>
      <c r="CD116" s="88"/>
      <c r="CE116" s="88"/>
      <c r="CF116" s="88"/>
      <c r="CG116" s="88"/>
      <c r="CH116" s="88"/>
      <c r="CI116" s="88"/>
      <c r="CJ116" s="88"/>
      <c r="CK116" s="88"/>
      <c r="CL116" s="88"/>
      <c r="CM116" s="88"/>
      <c r="CN116" s="88"/>
      <c r="CO116" s="88"/>
      <c r="CP116" s="88"/>
      <c r="CQ116" s="88"/>
      <c r="CR116" s="88"/>
      <c r="CS116" s="88"/>
      <c r="CT116" s="88"/>
      <c r="CU116" s="88"/>
      <c r="CV116" s="88"/>
      <c r="CW116" s="88"/>
      <c r="CX116" s="88"/>
      <c r="CY116" s="88"/>
      <c r="CZ116" s="88"/>
      <c r="DA116" s="88"/>
      <c r="DB116" s="88"/>
      <c r="DC116" s="88"/>
      <c r="DD116" s="88"/>
      <c r="DE116" s="88"/>
      <c r="DF116" s="88"/>
      <c r="DG116" s="88"/>
      <c r="DH116" s="88"/>
      <c r="DI116" s="88"/>
      <c r="DJ116" s="88"/>
      <c r="DK116" s="88"/>
      <c r="DL116" s="88"/>
      <c r="DM116" s="88"/>
      <c r="DN116" s="88"/>
      <c r="DO116" s="88"/>
      <c r="DP116" s="88"/>
      <c r="DQ116" s="88"/>
      <c r="DR116" s="88"/>
      <c r="DS116" s="88"/>
      <c r="DT116" s="88"/>
      <c r="DU116" s="88"/>
      <c r="DV116" s="88"/>
      <c r="DW116" s="88"/>
      <c r="DX116" s="88"/>
      <c r="DY116" s="88"/>
      <c r="DZ116" s="88"/>
      <c r="EA116" s="88"/>
      <c r="EB116" s="88"/>
      <c r="EC116" s="88"/>
      <c r="ED116" s="88"/>
      <c r="EE116" s="88"/>
      <c r="EF116" s="88"/>
      <c r="EG116" s="88"/>
      <c r="EH116" s="88"/>
      <c r="EI116" s="88"/>
      <c r="EJ116" s="88"/>
      <c r="EK116" s="88"/>
      <c r="EL116" s="88"/>
      <c r="EM116" s="88"/>
      <c r="EN116" s="88"/>
      <c r="EO116" s="88"/>
      <c r="EP116" s="88"/>
      <c r="EQ116" s="88"/>
      <c r="ER116" s="88"/>
      <c r="ES116" s="88"/>
      <c r="ET116" s="88"/>
      <c r="EU116" s="88"/>
      <c r="EV116" s="88"/>
      <c r="EW116" s="88"/>
      <c r="EX116" s="88"/>
      <c r="EY116" s="88"/>
      <c r="EZ116" s="88"/>
      <c r="FA116" s="88"/>
      <c r="FB116" s="88"/>
      <c r="FC116" s="88"/>
      <c r="FD116" s="88"/>
      <c r="FE116" s="88"/>
      <c r="FF116" s="88"/>
      <c r="FG116" s="88"/>
      <c r="FH116" s="88"/>
      <c r="FI116" s="88"/>
      <c r="FJ116" s="88"/>
      <c r="FK116" s="88"/>
      <c r="FL116" s="88"/>
      <c r="FM116" s="88"/>
      <c r="FN116" s="88"/>
      <c r="FO116" s="88"/>
      <c r="FP116" s="88"/>
      <c r="FQ116" s="88"/>
      <c r="FR116" s="88"/>
      <c r="FS116" s="88"/>
      <c r="FT116" s="88"/>
      <c r="FU116" s="88"/>
      <c r="FV116" s="88"/>
      <c r="FW116" s="88"/>
      <c r="FX116" s="88"/>
      <c r="FY116" s="88"/>
      <c r="FZ116" s="88"/>
      <c r="GA116" s="88"/>
      <c r="GB116" s="88"/>
      <c r="GC116" s="88"/>
      <c r="GD116" s="88"/>
      <c r="GE116" s="88"/>
      <c r="GF116" s="88"/>
      <c r="GG116" s="88"/>
      <c r="GH116" s="88"/>
      <c r="GI116" s="88"/>
      <c r="GJ116" s="88"/>
      <c r="GK116" s="88"/>
      <c r="GL116" s="88"/>
      <c r="GM116" s="88"/>
      <c r="GN116" s="88"/>
      <c r="GO116" s="88"/>
      <c r="GP116" s="88"/>
      <c r="GQ116" s="88"/>
      <c r="GR116" s="88"/>
      <c r="GS116" s="88"/>
      <c r="GT116" s="88"/>
      <c r="GU116" s="88"/>
      <c r="GV116" s="88"/>
      <c r="GW116" s="88"/>
      <c r="GX116" s="88"/>
      <c r="GY116" s="88"/>
      <c r="GZ116" s="88"/>
      <c r="HA116" s="88"/>
      <c r="HB116" s="88"/>
      <c r="HC116" s="88"/>
      <c r="HD116" s="88"/>
      <c r="HE116" s="88"/>
      <c r="HF116" s="88"/>
      <c r="HG116" s="88"/>
      <c r="HH116" s="88"/>
      <c r="HI116" s="88"/>
      <c r="HJ116" s="88"/>
      <c r="HK116" s="88"/>
      <c r="HL116" s="88"/>
      <c r="HM116" s="88"/>
      <c r="HN116" s="88"/>
      <c r="HO116" s="88"/>
      <c r="HP116" s="88"/>
      <c r="HQ116" s="88"/>
      <c r="HR116" s="88"/>
      <c r="HS116" s="88"/>
      <c r="HT116" s="88"/>
      <c r="HU116" s="88"/>
      <c r="HV116" s="88"/>
      <c r="HW116" s="88"/>
      <c r="HX116" s="88"/>
      <c r="HY116" s="88"/>
      <c r="HZ116" s="88"/>
      <c r="IA116" s="88"/>
      <c r="IB116" s="88"/>
      <c r="IC116" s="88"/>
      <c r="ID116" s="88"/>
      <c r="IE116" s="88"/>
      <c r="IF116" s="88"/>
      <c r="IG116" s="88"/>
      <c r="IH116" s="88"/>
      <c r="II116" s="88"/>
      <c r="IJ116" s="88"/>
      <c r="IK116" s="88"/>
      <c r="IL116" s="88"/>
      <c r="IM116" s="88"/>
      <c r="IN116" s="88"/>
      <c r="IO116" s="88"/>
      <c r="IP116" s="88"/>
      <c r="IQ116" s="88"/>
      <c r="IR116" s="88"/>
      <c r="IS116" s="88"/>
      <c r="IT116" s="88"/>
      <c r="IU116" s="88"/>
      <c r="IV116" s="88"/>
      <c r="IW116" s="88"/>
      <c r="IX116" s="88"/>
      <c r="IY116" s="88"/>
      <c r="IZ116" s="88"/>
      <c r="JA116" s="88"/>
      <c r="JB116" s="88"/>
      <c r="JC116" s="88"/>
      <c r="JD116" s="88"/>
      <c r="JE116" s="88"/>
      <c r="JF116" s="88"/>
      <c r="JG116" s="88"/>
      <c r="JH116" s="88"/>
      <c r="JI116" s="88"/>
      <c r="JJ116" s="88"/>
      <c r="JK116" s="88"/>
      <c r="JL116" s="88"/>
      <c r="JM116" s="88"/>
      <c r="JN116" s="88"/>
      <c r="JO116" s="88"/>
      <c r="JP116" s="88"/>
      <c r="JQ116" s="88"/>
      <c r="JR116" s="88"/>
      <c r="JS116" s="88"/>
      <c r="JT116" s="88"/>
      <c r="JU116" s="88"/>
      <c r="JV116" s="88"/>
      <c r="JW116" s="88"/>
      <c r="JX116" s="88"/>
      <c r="JY116" s="88"/>
      <c r="JZ116" s="88"/>
      <c r="KA116" s="88"/>
      <c r="KB116" s="88"/>
      <c r="KC116" s="88"/>
      <c r="KD116" s="88"/>
      <c r="KE116" s="88"/>
      <c r="KF116" s="88"/>
      <c r="KG116" s="88"/>
      <c r="KH116" s="88"/>
      <c r="KI116" s="88"/>
      <c r="KJ116" s="88"/>
      <c r="KK116" s="88"/>
      <c r="KL116" s="88"/>
      <c r="KM116" s="88"/>
      <c r="KN116" s="88"/>
      <c r="KO116" s="88"/>
      <c r="KP116" s="88"/>
      <c r="KQ116" s="88"/>
      <c r="KR116" s="88"/>
      <c r="KS116" s="88"/>
      <c r="KT116" s="88"/>
      <c r="KU116" s="88"/>
      <c r="KV116" s="88"/>
      <c r="KW116" s="88"/>
      <c r="KX116" s="88"/>
      <c r="KY116" s="88"/>
      <c r="KZ116" s="88"/>
      <c r="LA116" s="88"/>
      <c r="LB116" s="88"/>
      <c r="LC116" s="88"/>
      <c r="LD116" s="88"/>
      <c r="LE116" s="88"/>
      <c r="LF116" s="88"/>
      <c r="LG116" s="88"/>
      <c r="LH116" s="88"/>
      <c r="LI116" s="88"/>
      <c r="LJ116" s="88"/>
      <c r="LK116" s="88"/>
      <c r="LL116" s="88"/>
      <c r="LM116" s="88"/>
      <c r="LN116" s="88"/>
      <c r="LO116" s="88"/>
      <c r="LP116" s="88"/>
      <c r="LQ116" s="88"/>
      <c r="LR116" s="88"/>
      <c r="LS116" s="88"/>
      <c r="LT116" s="88"/>
      <c r="LU116" s="88"/>
      <c r="LV116" s="88"/>
      <c r="LW116" s="88"/>
      <c r="LX116" s="88"/>
      <c r="LY116" s="88"/>
      <c r="LZ116" s="88"/>
      <c r="MA116" s="88"/>
      <c r="MB116" s="88"/>
      <c r="MC116" s="88"/>
      <c r="MD116" s="88"/>
      <c r="ME116" s="88"/>
      <c r="MF116" s="88"/>
      <c r="MG116" s="88"/>
      <c r="MH116" s="88"/>
      <c r="MI116" s="88"/>
      <c r="MJ116" s="88"/>
      <c r="MK116" s="88"/>
      <c r="ML116" s="88"/>
      <c r="MM116" s="88"/>
      <c r="MN116" s="88"/>
      <c r="MO116" s="88"/>
      <c r="MP116" s="88"/>
      <c r="MQ116" s="88"/>
      <c r="MR116" s="88"/>
      <c r="MS116" s="88"/>
      <c r="MT116" s="88"/>
      <c r="MU116" s="88"/>
      <c r="MV116" s="88"/>
      <c r="MW116" s="88"/>
      <c r="MX116" s="88"/>
      <c r="MY116" s="88"/>
      <c r="MZ116" s="88"/>
      <c r="NA116" s="88"/>
      <c r="NB116" s="88"/>
      <c r="NC116" s="88"/>
      <c r="ND116" s="88"/>
      <c r="NE116" s="88"/>
      <c r="NF116" s="88"/>
      <c r="NG116" s="88"/>
      <c r="NH116" s="88"/>
      <c r="NI116" s="88"/>
      <c r="NJ116" s="88"/>
      <c r="NK116" s="88"/>
      <c r="NL116" s="88"/>
      <c r="NM116" s="88"/>
      <c r="NN116" s="88"/>
      <c r="NO116" s="88"/>
      <c r="NP116" s="88"/>
      <c r="NQ116" s="88"/>
      <c r="NR116" s="88"/>
      <c r="NS116" s="88"/>
      <c r="NT116" s="88"/>
      <c r="NU116" s="88"/>
      <c r="NV116" s="88"/>
      <c r="NW116" s="88"/>
      <c r="NX116" s="88"/>
      <c r="NY116" s="88"/>
      <c r="NZ116" s="88"/>
      <c r="OA116" s="88"/>
      <c r="OB116" s="88"/>
      <c r="OC116" s="88"/>
      <c r="OD116" s="88"/>
      <c r="OE116" s="88"/>
      <c r="OF116" s="88"/>
      <c r="OG116" s="88"/>
      <c r="OH116" s="88"/>
      <c r="OI116" s="88"/>
      <c r="OJ116" s="88"/>
      <c r="OK116" s="88"/>
      <c r="OL116" s="88"/>
      <c r="OM116" s="88"/>
      <c r="ON116" s="88"/>
      <c r="OO116" s="88"/>
      <c r="OP116" s="88"/>
      <c r="OQ116" s="88"/>
      <c r="OR116" s="88"/>
      <c r="OS116" s="88"/>
      <c r="OT116" s="88"/>
      <c r="OU116" s="88"/>
      <c r="OV116" s="88"/>
      <c r="OW116" s="88"/>
      <c r="OX116" s="88"/>
      <c r="OY116" s="88"/>
      <c r="OZ116" s="88"/>
      <c r="PA116" s="88"/>
      <c r="PB116" s="88"/>
      <c r="PC116" s="88"/>
      <c r="PD116" s="88"/>
      <c r="PE116" s="88"/>
      <c r="PF116" s="88"/>
      <c r="PG116" s="88"/>
      <c r="PH116" s="88"/>
      <c r="PI116" s="88"/>
      <c r="PJ116" s="88"/>
      <c r="PK116" s="88"/>
      <c r="PL116" s="88"/>
      <c r="PM116" s="88"/>
      <c r="PN116" s="88"/>
      <c r="PO116" s="88"/>
      <c r="PP116" s="88"/>
      <c r="PQ116" s="88"/>
      <c r="PR116" s="88"/>
      <c r="PS116" s="88"/>
      <c r="PT116" s="88"/>
      <c r="PU116" s="88"/>
      <c r="PV116" s="88"/>
      <c r="PW116" s="88"/>
      <c r="PX116" s="88"/>
      <c r="PY116" s="88"/>
      <c r="PZ116" s="88"/>
      <c r="QA116" s="88"/>
      <c r="QB116" s="88"/>
      <c r="QC116" s="88"/>
      <c r="QD116" s="88"/>
      <c r="QE116" s="88"/>
      <c r="QF116" s="88"/>
      <c r="QG116" s="88"/>
      <c r="QH116" s="88"/>
      <c r="QI116" s="88"/>
      <c r="QJ116" s="88"/>
      <c r="QK116" s="88"/>
      <c r="QL116" s="88"/>
      <c r="QM116" s="88"/>
      <c r="QN116" s="88"/>
      <c r="QO116" s="88"/>
      <c r="QP116" s="88"/>
      <c r="QQ116" s="88"/>
      <c r="QR116" s="88"/>
      <c r="QS116" s="88"/>
      <c r="QT116" s="88"/>
      <c r="QU116" s="88"/>
      <c r="QV116" s="88"/>
      <c r="QW116" s="88"/>
      <c r="QX116" s="88"/>
      <c r="QY116" s="88"/>
      <c r="QZ116" s="88"/>
      <c r="RA116" s="88"/>
      <c r="RB116" s="88"/>
      <c r="RC116" s="88"/>
      <c r="RD116" s="88"/>
      <c r="RE116" s="88"/>
      <c r="RF116" s="88"/>
      <c r="RG116" s="88"/>
      <c r="RH116" s="88"/>
      <c r="RI116" s="88"/>
      <c r="RJ116" s="88"/>
      <c r="RK116" s="88"/>
      <c r="RL116" s="88"/>
      <c r="RM116" s="88"/>
      <c r="RN116" s="88"/>
      <c r="RO116" s="88"/>
      <c r="RP116" s="88"/>
      <c r="RQ116" s="88"/>
      <c r="RR116" s="88"/>
      <c r="RS116" s="88"/>
      <c r="RT116" s="88"/>
      <c r="RU116" s="88"/>
      <c r="RV116" s="88"/>
      <c r="RW116" s="88"/>
      <c r="RX116" s="88"/>
      <c r="RY116" s="88"/>
      <c r="RZ116" s="88"/>
      <c r="SA116" s="88"/>
      <c r="SB116" s="88"/>
      <c r="SC116" s="88"/>
      <c r="SD116" s="88"/>
      <c r="SE116" s="88"/>
      <c r="SF116" s="88"/>
      <c r="SG116" s="88"/>
      <c r="SH116" s="88"/>
      <c r="SI116" s="88"/>
      <c r="SJ116" s="88"/>
      <c r="SK116" s="88"/>
      <c r="SL116" s="88"/>
      <c r="SM116" s="88"/>
      <c r="SN116" s="88"/>
      <c r="SO116" s="88"/>
      <c r="SP116" s="88"/>
      <c r="SQ116" s="88"/>
      <c r="SR116" s="88"/>
      <c r="SS116" s="88"/>
      <c r="ST116" s="88"/>
      <c r="SU116" s="88"/>
      <c r="SV116" s="88"/>
      <c r="SW116" s="88"/>
      <c r="SX116" s="88"/>
      <c r="SY116" s="88"/>
      <c r="SZ116" s="88"/>
      <c r="TA116" s="88"/>
      <c r="TB116" s="88"/>
      <c r="TC116" s="88"/>
      <c r="TD116" s="88"/>
      <c r="TE116" s="88"/>
      <c r="TF116" s="88"/>
      <c r="TG116" s="88"/>
      <c r="TH116" s="88"/>
      <c r="TI116" s="88"/>
      <c r="TJ116" s="88"/>
      <c r="TK116" s="88"/>
      <c r="TL116" s="88"/>
      <c r="TM116" s="88"/>
      <c r="TN116" s="88"/>
      <c r="TO116" s="88"/>
      <c r="TP116" s="88"/>
      <c r="TQ116" s="88"/>
      <c r="TR116" s="88"/>
      <c r="TS116" s="88"/>
      <c r="TT116" s="88"/>
      <c r="TU116" s="88"/>
      <c r="TV116" s="88"/>
      <c r="TW116" s="88"/>
      <c r="TX116" s="88"/>
      <c r="TY116" s="88"/>
      <c r="TZ116" s="88"/>
      <c r="UA116" s="88"/>
      <c r="UB116" s="88"/>
      <c r="UC116" s="88"/>
      <c r="UD116" s="88"/>
      <c r="UE116" s="88"/>
      <c r="UF116" s="88"/>
      <c r="UG116" s="88"/>
      <c r="UH116" s="88"/>
      <c r="UI116" s="88"/>
      <c r="UJ116" s="88"/>
      <c r="UK116" s="88"/>
      <c r="UL116" s="88"/>
      <c r="UM116" s="88"/>
      <c r="UN116" s="88"/>
      <c r="UO116" s="88"/>
      <c r="UP116" s="88"/>
      <c r="UQ116" s="88"/>
      <c r="UR116" s="88"/>
      <c r="US116" s="88"/>
      <c r="UT116" s="88"/>
      <c r="UU116" s="88"/>
      <c r="UV116" s="88"/>
      <c r="UW116" s="88"/>
      <c r="UX116" s="88"/>
      <c r="UY116" s="88"/>
      <c r="UZ116" s="88"/>
      <c r="VA116" s="88"/>
      <c r="VB116" s="88"/>
      <c r="VC116" s="88"/>
      <c r="VD116" s="88"/>
      <c r="VE116" s="88"/>
      <c r="VF116" s="88"/>
      <c r="VG116" s="88"/>
      <c r="VH116" s="88"/>
      <c r="VI116" s="88"/>
      <c r="VJ116" s="88"/>
      <c r="VK116" s="88"/>
      <c r="VL116" s="88"/>
      <c r="VM116" s="88"/>
      <c r="VN116" s="88"/>
      <c r="VO116" s="88"/>
      <c r="VP116" s="88"/>
      <c r="VQ116" s="88"/>
      <c r="VR116" s="88"/>
      <c r="VS116" s="88"/>
      <c r="VT116" s="88"/>
      <c r="VU116" s="88"/>
      <c r="VV116" s="88"/>
      <c r="VW116" s="88"/>
      <c r="VX116" s="88"/>
      <c r="VY116" s="88"/>
      <c r="VZ116" s="88"/>
      <c r="WA116" s="88"/>
      <c r="WB116" s="88"/>
      <c r="WC116" s="88"/>
      <c r="WD116" s="88"/>
      <c r="WE116" s="88"/>
      <c r="WF116" s="88"/>
      <c r="WG116" s="88"/>
      <c r="WH116" s="88"/>
      <c r="WI116" s="88"/>
      <c r="WJ116" s="88"/>
      <c r="WK116" s="88"/>
      <c r="WL116" s="88"/>
      <c r="WM116" s="88"/>
      <c r="WN116" s="88"/>
      <c r="WO116" s="88"/>
      <c r="WP116" s="88"/>
      <c r="WQ116" s="88"/>
      <c r="WR116" s="88"/>
      <c r="WS116" s="88"/>
      <c r="WT116" s="88"/>
      <c r="WU116" s="88"/>
      <c r="WV116" s="88"/>
      <c r="WW116" s="88"/>
      <c r="WX116" s="88"/>
      <c r="WY116" s="88"/>
      <c r="WZ116" s="88"/>
      <c r="XA116" s="88"/>
      <c r="XB116" s="88"/>
      <c r="XC116" s="88"/>
      <c r="XD116" s="88"/>
      <c r="XE116" s="88"/>
      <c r="XF116" s="88"/>
      <c r="XG116" s="88"/>
      <c r="XH116" s="88"/>
      <c r="XI116" s="88"/>
      <c r="XJ116" s="88"/>
      <c r="XK116" s="88"/>
      <c r="XL116" s="88"/>
      <c r="XM116" s="88"/>
      <c r="XN116" s="88"/>
      <c r="XO116" s="88"/>
      <c r="XP116" s="88"/>
      <c r="XQ116" s="88"/>
      <c r="XR116" s="88"/>
      <c r="XS116" s="88"/>
      <c r="XT116" s="88"/>
      <c r="XU116" s="88"/>
      <c r="XV116" s="88"/>
      <c r="XW116" s="88"/>
      <c r="XX116" s="88"/>
      <c r="XY116" s="88"/>
      <c r="XZ116" s="88"/>
      <c r="YA116" s="88"/>
      <c r="YB116" s="88"/>
      <c r="YC116" s="88"/>
      <c r="YD116" s="88"/>
      <c r="YE116" s="88"/>
      <c r="YF116" s="88"/>
      <c r="YG116" s="88"/>
      <c r="YH116" s="88"/>
      <c r="YI116" s="88"/>
      <c r="YJ116" s="88"/>
      <c r="YK116" s="88"/>
      <c r="YL116" s="88"/>
      <c r="YM116" s="88"/>
      <c r="YN116" s="88"/>
      <c r="YO116" s="88"/>
      <c r="YP116" s="88"/>
      <c r="YQ116" s="88"/>
      <c r="YR116" s="88"/>
      <c r="YS116" s="88"/>
      <c r="YT116" s="88"/>
      <c r="YU116" s="88"/>
      <c r="YV116" s="88"/>
      <c r="YW116" s="88"/>
      <c r="YX116" s="88"/>
      <c r="YY116" s="88"/>
      <c r="YZ116" s="88"/>
      <c r="ZA116" s="88"/>
      <c r="ZB116" s="88"/>
      <c r="ZC116" s="88"/>
      <c r="ZD116" s="88"/>
      <c r="ZE116" s="88"/>
      <c r="ZF116" s="88"/>
      <c r="ZG116" s="88"/>
      <c r="ZH116" s="88"/>
      <c r="ZI116" s="88"/>
      <c r="ZJ116" s="88"/>
      <c r="ZK116" s="88"/>
      <c r="ZL116" s="88"/>
      <c r="ZM116" s="88"/>
      <c r="ZN116" s="88"/>
      <c r="ZO116" s="88"/>
      <c r="ZP116" s="88"/>
      <c r="ZQ116" s="88"/>
      <c r="ZR116" s="88"/>
      <c r="ZS116" s="88"/>
      <c r="ZT116" s="88"/>
      <c r="ZU116" s="88"/>
      <c r="ZV116" s="88"/>
      <c r="ZW116" s="88"/>
      <c r="ZX116" s="88"/>
      <c r="ZY116" s="88"/>
      <c r="ZZ116" s="88"/>
      <c r="AAA116" s="88"/>
      <c r="AAB116" s="88"/>
      <c r="AAC116" s="88"/>
      <c r="AAD116" s="88"/>
      <c r="AAE116" s="88"/>
      <c r="AAF116" s="88"/>
      <c r="AAG116" s="88"/>
      <c r="AAH116" s="88"/>
      <c r="AAI116" s="88"/>
      <c r="AAJ116" s="88"/>
      <c r="AAK116" s="88"/>
      <c r="AAL116" s="88"/>
      <c r="AAM116" s="88"/>
      <c r="AAN116" s="88"/>
      <c r="AAO116" s="88"/>
      <c r="AAP116" s="88"/>
      <c r="AAQ116" s="88"/>
      <c r="AAR116" s="88"/>
      <c r="AAS116" s="88"/>
      <c r="AAT116" s="88"/>
      <c r="AAU116" s="88"/>
      <c r="AAV116" s="88"/>
      <c r="AAW116" s="88"/>
      <c r="AAX116" s="88"/>
      <c r="AAY116" s="88"/>
      <c r="AAZ116" s="88"/>
      <c r="ABA116" s="88"/>
      <c r="ABB116" s="88"/>
      <c r="ABC116" s="88"/>
      <c r="ABD116" s="88"/>
      <c r="ABE116" s="88"/>
      <c r="ABF116" s="88"/>
      <c r="ABG116" s="88"/>
      <c r="ABH116" s="88"/>
      <c r="ABI116" s="88"/>
      <c r="ABJ116" s="88"/>
      <c r="ABK116" s="88"/>
      <c r="ABL116" s="88"/>
      <c r="ABM116" s="88"/>
      <c r="ABN116" s="88"/>
      <c r="ABO116" s="88"/>
      <c r="ABP116" s="88"/>
      <c r="ABQ116" s="88"/>
      <c r="ABR116" s="88"/>
      <c r="ABS116" s="88"/>
      <c r="ABT116" s="88"/>
      <c r="ABU116" s="88"/>
      <c r="ABV116" s="88"/>
      <c r="ABW116" s="88"/>
      <c r="ABX116" s="88"/>
      <c r="ABY116" s="88"/>
      <c r="ABZ116" s="88"/>
      <c r="ACA116" s="88"/>
      <c r="ACB116" s="88"/>
      <c r="ACC116" s="88"/>
      <c r="ACD116" s="88"/>
      <c r="ACE116" s="88"/>
      <c r="ACF116" s="88"/>
      <c r="ACG116" s="88"/>
      <c r="ACH116" s="88"/>
      <c r="ACI116" s="88"/>
      <c r="ACJ116" s="88"/>
      <c r="ACK116" s="88"/>
      <c r="ACL116" s="88"/>
      <c r="ACM116" s="88"/>
      <c r="ACN116" s="88"/>
      <c r="ACO116" s="88"/>
      <c r="ACP116" s="88"/>
      <c r="ACQ116" s="88"/>
      <c r="ACR116" s="88"/>
      <c r="ACS116" s="88"/>
      <c r="ACT116" s="88"/>
      <c r="ACU116" s="88"/>
      <c r="ACV116" s="88"/>
      <c r="ACW116" s="88"/>
      <c r="ACX116" s="88"/>
      <c r="ACY116" s="88"/>
      <c r="ACZ116" s="88"/>
      <c r="ADA116" s="88"/>
      <c r="ADB116" s="88"/>
      <c r="ADC116" s="88"/>
      <c r="ADD116" s="88"/>
      <c r="ADE116" s="88"/>
      <c r="ADF116" s="88"/>
      <c r="ADG116" s="88"/>
      <c r="ADH116" s="88"/>
      <c r="ADI116" s="88"/>
      <c r="ADJ116" s="88"/>
      <c r="ADK116" s="88"/>
      <c r="ADL116" s="88"/>
      <c r="ADM116" s="88"/>
      <c r="ADN116" s="88"/>
      <c r="ADO116" s="88"/>
      <c r="ADP116" s="88"/>
      <c r="ADQ116" s="88"/>
      <c r="ADR116" s="88"/>
      <c r="ADS116" s="88"/>
      <c r="ADT116" s="88"/>
      <c r="ADU116" s="88"/>
      <c r="ADV116" s="88"/>
      <c r="ADW116" s="88"/>
      <c r="ADX116" s="88"/>
      <c r="ADY116" s="88"/>
      <c r="ADZ116" s="88"/>
      <c r="AEA116" s="88"/>
      <c r="AEB116" s="88"/>
      <c r="AEC116" s="88"/>
      <c r="AED116" s="88"/>
      <c r="AEE116" s="88"/>
      <c r="AEF116" s="88"/>
      <c r="AEG116" s="88"/>
      <c r="AEH116" s="88"/>
      <c r="AEI116" s="88"/>
      <c r="AEJ116" s="88"/>
      <c r="AEK116" s="88"/>
      <c r="AEL116" s="88"/>
      <c r="AEM116" s="88"/>
      <c r="AEN116" s="88"/>
      <c r="AEO116" s="88"/>
      <c r="AEP116" s="88"/>
      <c r="AEQ116" s="88"/>
      <c r="AER116" s="88"/>
      <c r="AES116" s="88"/>
      <c r="AET116" s="88"/>
      <c r="AEU116" s="88"/>
      <c r="AEV116" s="88"/>
      <c r="AEW116" s="88"/>
      <c r="AEX116" s="88"/>
      <c r="AEY116" s="88"/>
      <c r="AEZ116" s="88"/>
      <c r="AFA116" s="88"/>
      <c r="AFB116" s="88"/>
      <c r="AFC116" s="88"/>
      <c r="AFD116" s="88"/>
      <c r="AFE116" s="88"/>
      <c r="AFF116" s="88"/>
      <c r="AFG116" s="88"/>
      <c r="AFH116" s="88"/>
      <c r="AFI116" s="88"/>
      <c r="AFJ116" s="88"/>
      <c r="AFK116" s="88"/>
      <c r="AFL116" s="88"/>
      <c r="AFM116" s="88"/>
      <c r="AFN116" s="88"/>
      <c r="AFO116" s="88"/>
      <c r="AFP116" s="88"/>
      <c r="AFQ116" s="88"/>
      <c r="AFR116" s="88"/>
      <c r="AFS116" s="88"/>
      <c r="AFT116" s="88"/>
      <c r="AFU116" s="88"/>
      <c r="AFV116" s="88"/>
      <c r="AFW116" s="88"/>
      <c r="AFX116" s="88"/>
      <c r="AFY116" s="88"/>
      <c r="AFZ116" s="88"/>
      <c r="AGA116" s="88"/>
      <c r="AGB116" s="88"/>
      <c r="AGC116" s="88"/>
      <c r="AGD116" s="88"/>
      <c r="AGE116" s="88"/>
      <c r="AGF116" s="88"/>
      <c r="AGG116" s="88"/>
      <c r="AGH116" s="88"/>
      <c r="AGI116" s="88"/>
      <c r="AGJ116" s="88"/>
      <c r="AGK116" s="88"/>
      <c r="AGL116" s="88"/>
      <c r="AGM116" s="88"/>
      <c r="AGN116" s="88"/>
      <c r="AGO116" s="88"/>
      <c r="AGP116" s="88"/>
      <c r="AGQ116" s="88"/>
      <c r="AGR116" s="88"/>
      <c r="AGS116" s="88"/>
      <c r="AGT116" s="88"/>
      <c r="AGU116" s="88"/>
      <c r="AGV116" s="88"/>
      <c r="AGW116" s="88"/>
      <c r="AGX116" s="88"/>
      <c r="AGY116" s="88"/>
      <c r="AGZ116" s="88"/>
      <c r="AHA116" s="88"/>
      <c r="AHB116" s="88"/>
      <c r="AHC116" s="88"/>
      <c r="AHD116" s="88"/>
      <c r="AHE116" s="88"/>
      <c r="AHF116" s="88"/>
      <c r="AHG116" s="88"/>
      <c r="AHH116" s="88"/>
      <c r="AHI116" s="88"/>
      <c r="AHJ116" s="88"/>
      <c r="AHK116" s="88"/>
      <c r="AHL116" s="88"/>
      <c r="AHM116" s="88"/>
      <c r="AHN116" s="88"/>
      <c r="AHO116" s="88"/>
      <c r="AHP116" s="88"/>
      <c r="AHQ116" s="88"/>
      <c r="AHR116" s="88"/>
      <c r="AHS116" s="88"/>
      <c r="AHT116" s="88"/>
      <c r="AHU116" s="88"/>
      <c r="AHV116" s="88"/>
      <c r="AHW116" s="88"/>
      <c r="AHX116" s="88"/>
      <c r="AHY116" s="88"/>
      <c r="AHZ116" s="88"/>
      <c r="AIA116" s="88"/>
      <c r="AIB116" s="88"/>
      <c r="AIC116" s="88"/>
      <c r="AID116" s="88"/>
      <c r="AIE116" s="88"/>
      <c r="AIF116" s="88"/>
      <c r="AIG116" s="88"/>
      <c r="AIH116" s="88"/>
      <c r="AII116" s="88"/>
      <c r="AIJ116" s="88"/>
      <c r="AIK116" s="88"/>
      <c r="AIL116" s="88"/>
      <c r="AIM116" s="88"/>
      <c r="AIN116" s="88"/>
      <c r="AIO116" s="88"/>
      <c r="AIP116" s="88"/>
      <c r="AIQ116" s="88"/>
      <c r="AIR116" s="88"/>
      <c r="AIS116" s="88"/>
      <c r="AIT116" s="88"/>
      <c r="AIU116" s="88"/>
      <c r="AIV116" s="88"/>
      <c r="AIW116" s="88"/>
      <c r="AIX116" s="88"/>
      <c r="AIY116" s="88"/>
      <c r="AIZ116" s="88"/>
      <c r="AJA116" s="88"/>
      <c r="AJB116" s="88"/>
      <c r="AJC116" s="88"/>
      <c r="AJD116" s="88"/>
      <c r="AJE116" s="88"/>
      <c r="AJF116" s="88"/>
      <c r="AJG116" s="88"/>
      <c r="AJH116" s="88"/>
      <c r="AJI116" s="88"/>
      <c r="AJJ116" s="88"/>
      <c r="AJK116" s="88"/>
      <c r="AJL116" s="88"/>
      <c r="AJM116" s="88"/>
      <c r="AJN116" s="88"/>
      <c r="AJO116" s="88"/>
      <c r="AJP116" s="88"/>
      <c r="AJQ116" s="88"/>
      <c r="AJR116" s="88"/>
      <c r="AJS116" s="88"/>
      <c r="AJT116" s="88"/>
      <c r="AJU116" s="88"/>
      <c r="AJV116" s="88"/>
      <c r="AJW116" s="88"/>
      <c r="AJX116" s="88"/>
      <c r="AJY116" s="88"/>
      <c r="AJZ116" s="88"/>
      <c r="AKA116" s="88"/>
      <c r="AKB116" s="88"/>
      <c r="AKC116" s="88"/>
      <c r="AKD116" s="88"/>
      <c r="AKE116" s="88"/>
      <c r="AKF116" s="88"/>
      <c r="AKG116" s="88"/>
      <c r="AKH116" s="88"/>
      <c r="AKI116" s="88"/>
      <c r="AKJ116" s="88"/>
      <c r="AKK116" s="88"/>
      <c r="AKL116" s="88"/>
      <c r="AKM116" s="88"/>
      <c r="AKN116" s="88"/>
      <c r="AKO116" s="88"/>
      <c r="AKP116" s="88"/>
      <c r="AKQ116" s="88"/>
      <c r="AKR116" s="88"/>
      <c r="AKS116" s="88"/>
      <c r="AKT116" s="88"/>
      <c r="AKU116" s="88"/>
      <c r="AKV116" s="88"/>
      <c r="AKW116" s="88"/>
      <c r="AKX116" s="88"/>
      <c r="AKY116" s="88"/>
      <c r="AKZ116" s="88"/>
      <c r="ALA116" s="88"/>
      <c r="ALB116" s="88"/>
      <c r="ALC116" s="88"/>
      <c r="ALD116" s="88"/>
      <c r="ALE116" s="88"/>
      <c r="ALF116" s="88"/>
      <c r="ALG116" s="88"/>
      <c r="ALH116" s="88"/>
      <c r="ALI116" s="88"/>
      <c r="ALJ116" s="88"/>
      <c r="ALK116" s="88"/>
      <c r="ALL116" s="88"/>
      <c r="ALM116" s="88"/>
      <c r="ALN116" s="88"/>
      <c r="ALO116" s="88"/>
      <c r="ALP116" s="88"/>
      <c r="ALQ116" s="88"/>
      <c r="ALR116" s="88"/>
      <c r="ALS116" s="88"/>
      <c r="ALT116" s="88"/>
      <c r="ALU116" s="88"/>
      <c r="ALV116" s="88"/>
      <c r="ALW116" s="88"/>
      <c r="ALX116" s="88"/>
      <c r="ALY116" s="88"/>
      <c r="ALZ116" s="88"/>
      <c r="AMA116" s="88"/>
      <c r="AMB116" s="88"/>
      <c r="AMC116" s="88"/>
      <c r="AMD116" s="88"/>
      <c r="AME116" s="88"/>
      <c r="AMF116" s="88"/>
      <c r="AMG116" s="88"/>
      <c r="AMH116" s="88"/>
      <c r="AMI116" s="88"/>
      <c r="AMJ116" s="88"/>
      <c r="AMK116" s="88"/>
      <c r="AML116" s="88"/>
      <c r="AMM116" s="88"/>
      <c r="AMN116" s="88"/>
      <c r="AMO116" s="88"/>
      <c r="AMP116" s="88"/>
      <c r="AMQ116" s="88"/>
      <c r="AMR116" s="88"/>
      <c r="AMS116" s="88"/>
      <c r="AMT116" s="88"/>
      <c r="AMU116" s="88"/>
      <c r="AMV116" s="88"/>
      <c r="AMW116" s="88"/>
      <c r="AMX116" s="88"/>
    </row>
    <row r="117" spans="1:1038" s="4" customFormat="1" ht="27.4" customHeight="1" x14ac:dyDescent="0.4">
      <c r="A117" s="103">
        <v>86</v>
      </c>
      <c r="B117" s="104" t="s">
        <v>322</v>
      </c>
      <c r="C117" s="105" t="s">
        <v>281</v>
      </c>
      <c r="D117" s="106" t="s">
        <v>282</v>
      </c>
      <c r="E117" s="106"/>
      <c r="F117" s="106" t="s">
        <v>277</v>
      </c>
      <c r="G117" s="107"/>
      <c r="H117" s="108">
        <v>46203</v>
      </c>
      <c r="I117" s="109"/>
      <c r="J117" s="120"/>
      <c r="K117" s="194"/>
      <c r="L117" s="42"/>
      <c r="M117" s="42"/>
      <c r="N117" s="208">
        <v>208008</v>
      </c>
      <c r="O117" s="112">
        <v>0</v>
      </c>
      <c r="P117" s="111">
        <v>208008</v>
      </c>
      <c r="Q117" s="112"/>
      <c r="R117" s="111"/>
      <c r="S117" s="112"/>
      <c r="T117" s="113"/>
      <c r="U117" s="113"/>
      <c r="V117" s="88"/>
      <c r="W117" s="88"/>
      <c r="X117" s="88"/>
      <c r="Y117" s="88"/>
      <c r="Z117" s="88"/>
      <c r="AA117" s="88"/>
      <c r="AB117" s="88"/>
      <c r="AC117" s="88"/>
      <c r="AD117" s="88"/>
      <c r="AE117" s="88"/>
      <c r="AF117" s="88"/>
      <c r="AG117" s="88"/>
      <c r="AH117" s="88"/>
      <c r="AI117" s="88"/>
      <c r="AJ117" s="88"/>
      <c r="AK117" s="88"/>
      <c r="AL117" s="88"/>
      <c r="AM117" s="88"/>
      <c r="AN117" s="88"/>
      <c r="AO117" s="88"/>
      <c r="AP117" s="88"/>
      <c r="AQ117" s="88"/>
      <c r="AR117" s="88"/>
      <c r="AS117" s="88"/>
      <c r="AT117" s="88"/>
      <c r="AU117" s="88"/>
      <c r="AV117" s="88"/>
      <c r="AW117" s="88"/>
      <c r="AX117" s="88"/>
      <c r="AY117" s="88"/>
      <c r="AZ117" s="88"/>
      <c r="BA117" s="88"/>
      <c r="BB117" s="88"/>
      <c r="BC117" s="88"/>
      <c r="BD117" s="88"/>
      <c r="BE117" s="88"/>
      <c r="BF117" s="88"/>
      <c r="BG117" s="88"/>
      <c r="BH117" s="88"/>
      <c r="BI117" s="88"/>
      <c r="BJ117" s="88"/>
      <c r="BK117" s="88"/>
      <c r="BL117" s="88"/>
      <c r="BM117" s="88"/>
      <c r="BN117" s="88"/>
      <c r="BO117" s="88"/>
      <c r="BP117" s="88"/>
      <c r="BQ117" s="88"/>
      <c r="BR117" s="88"/>
      <c r="BS117" s="88"/>
      <c r="BT117" s="88"/>
      <c r="BU117" s="88"/>
      <c r="BV117" s="88"/>
      <c r="BW117" s="88"/>
      <c r="BX117" s="88"/>
      <c r="BY117" s="88"/>
      <c r="BZ117" s="88"/>
      <c r="CA117" s="88"/>
      <c r="CB117" s="88"/>
      <c r="CC117" s="88"/>
      <c r="CD117" s="88"/>
      <c r="CE117" s="88"/>
      <c r="CF117" s="88"/>
      <c r="CG117" s="88"/>
      <c r="CH117" s="88"/>
      <c r="CI117" s="88"/>
      <c r="CJ117" s="88"/>
      <c r="CK117" s="88"/>
      <c r="CL117" s="88"/>
      <c r="CM117" s="88"/>
      <c r="CN117" s="88"/>
      <c r="CO117" s="88"/>
      <c r="CP117" s="88"/>
      <c r="CQ117" s="88"/>
      <c r="CR117" s="88"/>
      <c r="CS117" s="88"/>
      <c r="CT117" s="88"/>
      <c r="CU117" s="88"/>
      <c r="CV117" s="88"/>
      <c r="CW117" s="88"/>
      <c r="CX117" s="88"/>
      <c r="CY117" s="88"/>
      <c r="CZ117" s="88"/>
      <c r="DA117" s="88"/>
      <c r="DB117" s="88"/>
      <c r="DC117" s="88"/>
      <c r="DD117" s="88"/>
      <c r="DE117" s="88"/>
      <c r="DF117" s="88"/>
      <c r="DG117" s="88"/>
      <c r="DH117" s="88"/>
      <c r="DI117" s="88"/>
      <c r="DJ117" s="88"/>
      <c r="DK117" s="88"/>
      <c r="DL117" s="88"/>
      <c r="DM117" s="88"/>
      <c r="DN117" s="88"/>
      <c r="DO117" s="88"/>
      <c r="DP117" s="88"/>
      <c r="DQ117" s="88"/>
      <c r="DR117" s="88"/>
      <c r="DS117" s="88"/>
      <c r="DT117" s="88"/>
      <c r="DU117" s="88"/>
      <c r="DV117" s="88"/>
      <c r="DW117" s="88"/>
      <c r="DX117" s="88"/>
      <c r="DY117" s="88"/>
      <c r="DZ117" s="88"/>
      <c r="EA117" s="88"/>
      <c r="EB117" s="88"/>
      <c r="EC117" s="88"/>
      <c r="ED117" s="88"/>
      <c r="EE117" s="88"/>
      <c r="EF117" s="88"/>
      <c r="EG117" s="88"/>
      <c r="EH117" s="88"/>
      <c r="EI117" s="88"/>
      <c r="EJ117" s="88"/>
      <c r="EK117" s="88"/>
      <c r="EL117" s="88"/>
      <c r="EM117" s="88"/>
      <c r="EN117" s="88"/>
      <c r="EO117" s="88"/>
      <c r="EP117" s="88"/>
      <c r="EQ117" s="88"/>
      <c r="ER117" s="88"/>
      <c r="ES117" s="88"/>
      <c r="ET117" s="88"/>
      <c r="EU117" s="88"/>
      <c r="EV117" s="88"/>
      <c r="EW117" s="88"/>
      <c r="EX117" s="88"/>
      <c r="EY117" s="88"/>
      <c r="EZ117" s="88"/>
      <c r="FA117" s="88"/>
      <c r="FB117" s="88"/>
      <c r="FC117" s="88"/>
      <c r="FD117" s="88"/>
      <c r="FE117" s="88"/>
      <c r="FF117" s="88"/>
      <c r="FG117" s="88"/>
      <c r="FH117" s="88"/>
      <c r="FI117" s="88"/>
      <c r="FJ117" s="88"/>
      <c r="FK117" s="88"/>
      <c r="FL117" s="88"/>
      <c r="FM117" s="88"/>
      <c r="FN117" s="88"/>
      <c r="FO117" s="88"/>
      <c r="FP117" s="88"/>
      <c r="FQ117" s="88"/>
      <c r="FR117" s="88"/>
      <c r="FS117" s="88"/>
      <c r="FT117" s="88"/>
      <c r="FU117" s="88"/>
      <c r="FV117" s="88"/>
      <c r="FW117" s="88"/>
      <c r="FX117" s="88"/>
      <c r="FY117" s="88"/>
      <c r="FZ117" s="88"/>
      <c r="GA117" s="88"/>
      <c r="GB117" s="88"/>
      <c r="GC117" s="88"/>
      <c r="GD117" s="88"/>
      <c r="GE117" s="88"/>
      <c r="GF117" s="88"/>
      <c r="GG117" s="88"/>
      <c r="GH117" s="88"/>
      <c r="GI117" s="88"/>
      <c r="GJ117" s="88"/>
      <c r="GK117" s="88"/>
      <c r="GL117" s="88"/>
      <c r="GM117" s="88"/>
      <c r="GN117" s="88"/>
      <c r="GO117" s="88"/>
      <c r="GP117" s="88"/>
      <c r="GQ117" s="88"/>
      <c r="GR117" s="88"/>
      <c r="GS117" s="88"/>
      <c r="GT117" s="88"/>
      <c r="GU117" s="88"/>
      <c r="GV117" s="88"/>
      <c r="GW117" s="88"/>
      <c r="GX117" s="88"/>
      <c r="GY117" s="88"/>
      <c r="GZ117" s="88"/>
      <c r="HA117" s="88"/>
      <c r="HB117" s="88"/>
      <c r="HC117" s="88"/>
      <c r="HD117" s="88"/>
      <c r="HE117" s="88"/>
      <c r="HF117" s="88"/>
      <c r="HG117" s="88"/>
      <c r="HH117" s="88"/>
      <c r="HI117" s="88"/>
      <c r="HJ117" s="88"/>
      <c r="HK117" s="88"/>
      <c r="HL117" s="88"/>
      <c r="HM117" s="88"/>
      <c r="HN117" s="88"/>
      <c r="HO117" s="88"/>
      <c r="HP117" s="88"/>
      <c r="HQ117" s="88"/>
      <c r="HR117" s="88"/>
      <c r="HS117" s="88"/>
      <c r="HT117" s="88"/>
      <c r="HU117" s="88"/>
      <c r="HV117" s="88"/>
      <c r="HW117" s="88"/>
      <c r="HX117" s="88"/>
      <c r="HY117" s="88"/>
      <c r="HZ117" s="88"/>
      <c r="IA117" s="88"/>
      <c r="IB117" s="88"/>
      <c r="IC117" s="88"/>
      <c r="ID117" s="88"/>
      <c r="IE117" s="88"/>
      <c r="IF117" s="88"/>
      <c r="IG117" s="88"/>
      <c r="IH117" s="88"/>
      <c r="II117" s="88"/>
      <c r="IJ117" s="88"/>
      <c r="IK117" s="88"/>
      <c r="IL117" s="88"/>
      <c r="IM117" s="88"/>
      <c r="IN117" s="88"/>
      <c r="IO117" s="88"/>
      <c r="IP117" s="88"/>
      <c r="IQ117" s="88"/>
      <c r="IR117" s="88"/>
      <c r="IS117" s="88"/>
      <c r="IT117" s="88"/>
      <c r="IU117" s="88"/>
      <c r="IV117" s="88"/>
      <c r="IW117" s="88"/>
      <c r="IX117" s="88"/>
      <c r="IY117" s="88"/>
      <c r="IZ117" s="88"/>
      <c r="JA117" s="88"/>
      <c r="JB117" s="88"/>
      <c r="JC117" s="88"/>
      <c r="JD117" s="88"/>
      <c r="JE117" s="88"/>
      <c r="JF117" s="88"/>
      <c r="JG117" s="88"/>
      <c r="JH117" s="88"/>
      <c r="JI117" s="88"/>
      <c r="JJ117" s="88"/>
      <c r="JK117" s="88"/>
      <c r="JL117" s="88"/>
      <c r="JM117" s="88"/>
      <c r="JN117" s="88"/>
      <c r="JO117" s="88"/>
      <c r="JP117" s="88"/>
      <c r="JQ117" s="88"/>
      <c r="JR117" s="88"/>
      <c r="JS117" s="88"/>
      <c r="JT117" s="88"/>
      <c r="JU117" s="88"/>
      <c r="JV117" s="88"/>
      <c r="JW117" s="88"/>
      <c r="JX117" s="88"/>
      <c r="JY117" s="88"/>
      <c r="JZ117" s="88"/>
      <c r="KA117" s="88"/>
      <c r="KB117" s="88"/>
      <c r="KC117" s="88"/>
      <c r="KD117" s="88"/>
      <c r="KE117" s="88"/>
      <c r="KF117" s="88"/>
      <c r="KG117" s="88"/>
      <c r="KH117" s="88"/>
      <c r="KI117" s="88"/>
      <c r="KJ117" s="88"/>
      <c r="KK117" s="88"/>
      <c r="KL117" s="88"/>
      <c r="KM117" s="88"/>
      <c r="KN117" s="88"/>
      <c r="KO117" s="88"/>
      <c r="KP117" s="88"/>
      <c r="KQ117" s="88"/>
      <c r="KR117" s="88"/>
      <c r="KS117" s="88"/>
      <c r="KT117" s="88"/>
      <c r="KU117" s="88"/>
      <c r="KV117" s="88"/>
      <c r="KW117" s="88"/>
      <c r="KX117" s="88"/>
      <c r="KY117" s="88"/>
      <c r="KZ117" s="88"/>
      <c r="LA117" s="88"/>
      <c r="LB117" s="88"/>
      <c r="LC117" s="88"/>
      <c r="LD117" s="88"/>
      <c r="LE117" s="88"/>
      <c r="LF117" s="88"/>
      <c r="LG117" s="88"/>
      <c r="LH117" s="88"/>
      <c r="LI117" s="88"/>
      <c r="LJ117" s="88"/>
      <c r="LK117" s="88"/>
      <c r="LL117" s="88"/>
      <c r="LM117" s="88"/>
      <c r="LN117" s="88"/>
      <c r="LO117" s="88"/>
      <c r="LP117" s="88"/>
      <c r="LQ117" s="88"/>
      <c r="LR117" s="88"/>
      <c r="LS117" s="88"/>
      <c r="LT117" s="88"/>
      <c r="LU117" s="88"/>
      <c r="LV117" s="88"/>
      <c r="LW117" s="88"/>
      <c r="LX117" s="88"/>
      <c r="LY117" s="88"/>
      <c r="LZ117" s="88"/>
      <c r="MA117" s="88"/>
      <c r="MB117" s="88"/>
      <c r="MC117" s="88"/>
      <c r="MD117" s="88"/>
      <c r="ME117" s="88"/>
      <c r="MF117" s="88"/>
      <c r="MG117" s="88"/>
      <c r="MH117" s="88"/>
      <c r="MI117" s="88"/>
      <c r="MJ117" s="88"/>
      <c r="MK117" s="88"/>
      <c r="ML117" s="88"/>
      <c r="MM117" s="88"/>
      <c r="MN117" s="88"/>
      <c r="MO117" s="88"/>
      <c r="MP117" s="88"/>
      <c r="MQ117" s="88"/>
      <c r="MR117" s="88"/>
      <c r="MS117" s="88"/>
      <c r="MT117" s="88"/>
      <c r="MU117" s="88"/>
      <c r="MV117" s="88"/>
      <c r="MW117" s="88"/>
      <c r="MX117" s="88"/>
      <c r="MY117" s="88"/>
      <c r="MZ117" s="88"/>
      <c r="NA117" s="88"/>
      <c r="NB117" s="88"/>
      <c r="NC117" s="88"/>
      <c r="ND117" s="88"/>
      <c r="NE117" s="88"/>
      <c r="NF117" s="88"/>
      <c r="NG117" s="88"/>
      <c r="NH117" s="88"/>
      <c r="NI117" s="88"/>
      <c r="NJ117" s="88"/>
      <c r="NK117" s="88"/>
      <c r="NL117" s="88"/>
      <c r="NM117" s="88"/>
      <c r="NN117" s="88"/>
      <c r="NO117" s="88"/>
      <c r="NP117" s="88"/>
      <c r="NQ117" s="88"/>
      <c r="NR117" s="88"/>
      <c r="NS117" s="88"/>
      <c r="NT117" s="88"/>
      <c r="NU117" s="88"/>
      <c r="NV117" s="88"/>
      <c r="NW117" s="88"/>
      <c r="NX117" s="88"/>
      <c r="NY117" s="88"/>
      <c r="NZ117" s="88"/>
      <c r="OA117" s="88"/>
      <c r="OB117" s="88"/>
      <c r="OC117" s="88"/>
      <c r="OD117" s="88"/>
      <c r="OE117" s="88"/>
      <c r="OF117" s="88"/>
      <c r="OG117" s="88"/>
      <c r="OH117" s="88"/>
      <c r="OI117" s="88"/>
      <c r="OJ117" s="88"/>
      <c r="OK117" s="88"/>
      <c r="OL117" s="88"/>
      <c r="OM117" s="88"/>
      <c r="ON117" s="88"/>
      <c r="OO117" s="88"/>
      <c r="OP117" s="88"/>
      <c r="OQ117" s="88"/>
      <c r="OR117" s="88"/>
      <c r="OS117" s="88"/>
      <c r="OT117" s="88"/>
      <c r="OU117" s="88"/>
      <c r="OV117" s="88"/>
      <c r="OW117" s="88"/>
      <c r="OX117" s="88"/>
      <c r="OY117" s="88"/>
      <c r="OZ117" s="88"/>
      <c r="PA117" s="88"/>
      <c r="PB117" s="88"/>
      <c r="PC117" s="88"/>
      <c r="PD117" s="88"/>
      <c r="PE117" s="88"/>
      <c r="PF117" s="88"/>
      <c r="PG117" s="88"/>
      <c r="PH117" s="88"/>
      <c r="PI117" s="88"/>
      <c r="PJ117" s="88"/>
      <c r="PK117" s="88"/>
      <c r="PL117" s="88"/>
      <c r="PM117" s="88"/>
      <c r="PN117" s="88"/>
      <c r="PO117" s="88"/>
      <c r="PP117" s="88"/>
      <c r="PQ117" s="88"/>
      <c r="PR117" s="88"/>
      <c r="PS117" s="88"/>
      <c r="PT117" s="88"/>
      <c r="PU117" s="88"/>
      <c r="PV117" s="88"/>
      <c r="PW117" s="88"/>
      <c r="PX117" s="88"/>
      <c r="PY117" s="88"/>
      <c r="PZ117" s="88"/>
      <c r="QA117" s="88"/>
      <c r="QB117" s="88"/>
      <c r="QC117" s="88"/>
      <c r="QD117" s="88"/>
      <c r="QE117" s="88"/>
      <c r="QF117" s="88"/>
      <c r="QG117" s="88"/>
      <c r="QH117" s="88"/>
      <c r="QI117" s="88"/>
      <c r="QJ117" s="88"/>
      <c r="QK117" s="88"/>
      <c r="QL117" s="88"/>
      <c r="QM117" s="88"/>
      <c r="QN117" s="88"/>
      <c r="QO117" s="88"/>
      <c r="QP117" s="88"/>
      <c r="QQ117" s="88"/>
      <c r="QR117" s="88"/>
      <c r="QS117" s="88"/>
      <c r="QT117" s="88"/>
      <c r="QU117" s="88"/>
      <c r="QV117" s="88"/>
      <c r="QW117" s="88"/>
      <c r="QX117" s="88"/>
      <c r="QY117" s="88"/>
      <c r="QZ117" s="88"/>
      <c r="RA117" s="88"/>
      <c r="RB117" s="88"/>
      <c r="RC117" s="88"/>
      <c r="RD117" s="88"/>
      <c r="RE117" s="88"/>
      <c r="RF117" s="88"/>
      <c r="RG117" s="88"/>
      <c r="RH117" s="88"/>
      <c r="RI117" s="88"/>
      <c r="RJ117" s="88"/>
      <c r="RK117" s="88"/>
      <c r="RL117" s="88"/>
      <c r="RM117" s="88"/>
      <c r="RN117" s="88"/>
      <c r="RO117" s="88"/>
      <c r="RP117" s="88"/>
      <c r="RQ117" s="88"/>
      <c r="RR117" s="88"/>
      <c r="RS117" s="88"/>
      <c r="RT117" s="88"/>
      <c r="RU117" s="88"/>
      <c r="RV117" s="88"/>
      <c r="RW117" s="88"/>
      <c r="RX117" s="88"/>
      <c r="RY117" s="88"/>
      <c r="RZ117" s="88"/>
      <c r="SA117" s="88"/>
      <c r="SB117" s="88"/>
      <c r="SC117" s="88"/>
      <c r="SD117" s="88"/>
      <c r="SE117" s="88"/>
      <c r="SF117" s="88"/>
      <c r="SG117" s="88"/>
      <c r="SH117" s="88"/>
      <c r="SI117" s="88"/>
      <c r="SJ117" s="88"/>
      <c r="SK117" s="88"/>
      <c r="SL117" s="88"/>
      <c r="SM117" s="88"/>
      <c r="SN117" s="88"/>
      <c r="SO117" s="88"/>
      <c r="SP117" s="88"/>
      <c r="SQ117" s="88"/>
      <c r="SR117" s="88"/>
      <c r="SS117" s="88"/>
      <c r="ST117" s="88"/>
      <c r="SU117" s="88"/>
      <c r="SV117" s="88"/>
      <c r="SW117" s="88"/>
      <c r="SX117" s="88"/>
      <c r="SY117" s="88"/>
      <c r="SZ117" s="88"/>
      <c r="TA117" s="88"/>
      <c r="TB117" s="88"/>
      <c r="TC117" s="88"/>
      <c r="TD117" s="88"/>
      <c r="TE117" s="88"/>
      <c r="TF117" s="88"/>
      <c r="TG117" s="88"/>
      <c r="TH117" s="88"/>
      <c r="TI117" s="88"/>
      <c r="TJ117" s="88"/>
      <c r="TK117" s="88"/>
      <c r="TL117" s="88"/>
      <c r="TM117" s="88"/>
      <c r="TN117" s="88"/>
      <c r="TO117" s="88"/>
      <c r="TP117" s="88"/>
      <c r="TQ117" s="88"/>
      <c r="TR117" s="88"/>
      <c r="TS117" s="88"/>
      <c r="TT117" s="88"/>
      <c r="TU117" s="88"/>
      <c r="TV117" s="88"/>
      <c r="TW117" s="88"/>
      <c r="TX117" s="88"/>
      <c r="TY117" s="88"/>
      <c r="TZ117" s="88"/>
      <c r="UA117" s="88"/>
      <c r="UB117" s="88"/>
      <c r="UC117" s="88"/>
      <c r="UD117" s="88"/>
      <c r="UE117" s="88"/>
      <c r="UF117" s="88"/>
      <c r="UG117" s="88"/>
      <c r="UH117" s="88"/>
      <c r="UI117" s="88"/>
      <c r="UJ117" s="88"/>
      <c r="UK117" s="88"/>
      <c r="UL117" s="88"/>
      <c r="UM117" s="88"/>
      <c r="UN117" s="88"/>
      <c r="UO117" s="88"/>
      <c r="UP117" s="88"/>
      <c r="UQ117" s="88"/>
      <c r="UR117" s="88"/>
      <c r="US117" s="88"/>
      <c r="UT117" s="88"/>
      <c r="UU117" s="88"/>
      <c r="UV117" s="88"/>
      <c r="UW117" s="88"/>
      <c r="UX117" s="88"/>
      <c r="UY117" s="88"/>
      <c r="UZ117" s="88"/>
      <c r="VA117" s="88"/>
      <c r="VB117" s="88"/>
      <c r="VC117" s="88"/>
      <c r="VD117" s="88"/>
      <c r="VE117" s="88"/>
      <c r="VF117" s="88"/>
      <c r="VG117" s="88"/>
      <c r="VH117" s="88"/>
      <c r="VI117" s="88"/>
      <c r="VJ117" s="88"/>
      <c r="VK117" s="88"/>
      <c r="VL117" s="88"/>
      <c r="VM117" s="88"/>
      <c r="VN117" s="88"/>
      <c r="VO117" s="88"/>
      <c r="VP117" s="88"/>
      <c r="VQ117" s="88"/>
      <c r="VR117" s="88"/>
      <c r="VS117" s="88"/>
      <c r="VT117" s="88"/>
      <c r="VU117" s="88"/>
      <c r="VV117" s="88"/>
      <c r="VW117" s="88"/>
      <c r="VX117" s="88"/>
      <c r="VY117" s="88"/>
      <c r="VZ117" s="88"/>
      <c r="WA117" s="88"/>
      <c r="WB117" s="88"/>
      <c r="WC117" s="88"/>
      <c r="WD117" s="88"/>
      <c r="WE117" s="88"/>
      <c r="WF117" s="88"/>
      <c r="WG117" s="88"/>
      <c r="WH117" s="88"/>
      <c r="WI117" s="88"/>
      <c r="WJ117" s="88"/>
      <c r="WK117" s="88"/>
      <c r="WL117" s="88"/>
      <c r="WM117" s="88"/>
      <c r="WN117" s="88"/>
      <c r="WO117" s="88"/>
      <c r="WP117" s="88"/>
      <c r="WQ117" s="88"/>
      <c r="WR117" s="88"/>
      <c r="WS117" s="88"/>
      <c r="WT117" s="88"/>
      <c r="WU117" s="88"/>
      <c r="WV117" s="88"/>
      <c r="WW117" s="88"/>
      <c r="WX117" s="88"/>
      <c r="WY117" s="88"/>
      <c r="WZ117" s="88"/>
      <c r="XA117" s="88"/>
      <c r="XB117" s="88"/>
      <c r="XC117" s="88"/>
      <c r="XD117" s="88"/>
      <c r="XE117" s="88"/>
      <c r="XF117" s="88"/>
      <c r="XG117" s="88"/>
      <c r="XH117" s="88"/>
      <c r="XI117" s="88"/>
      <c r="XJ117" s="88"/>
      <c r="XK117" s="88"/>
      <c r="XL117" s="88"/>
      <c r="XM117" s="88"/>
      <c r="XN117" s="88"/>
      <c r="XO117" s="88"/>
      <c r="XP117" s="88"/>
      <c r="XQ117" s="88"/>
      <c r="XR117" s="88"/>
      <c r="XS117" s="88"/>
      <c r="XT117" s="88"/>
      <c r="XU117" s="88"/>
      <c r="XV117" s="88"/>
      <c r="XW117" s="88"/>
      <c r="XX117" s="88"/>
      <c r="XY117" s="88"/>
      <c r="XZ117" s="88"/>
      <c r="YA117" s="88"/>
      <c r="YB117" s="88"/>
      <c r="YC117" s="88"/>
      <c r="YD117" s="88"/>
      <c r="YE117" s="88"/>
      <c r="YF117" s="88"/>
      <c r="YG117" s="88"/>
      <c r="YH117" s="88"/>
      <c r="YI117" s="88"/>
      <c r="YJ117" s="88"/>
      <c r="YK117" s="88"/>
      <c r="YL117" s="88"/>
      <c r="YM117" s="88"/>
      <c r="YN117" s="88"/>
      <c r="YO117" s="88"/>
      <c r="YP117" s="88"/>
      <c r="YQ117" s="88"/>
      <c r="YR117" s="88"/>
      <c r="YS117" s="88"/>
      <c r="YT117" s="88"/>
      <c r="YU117" s="88"/>
      <c r="YV117" s="88"/>
      <c r="YW117" s="88"/>
      <c r="YX117" s="88"/>
      <c r="YY117" s="88"/>
      <c r="YZ117" s="88"/>
      <c r="ZA117" s="88"/>
      <c r="ZB117" s="88"/>
      <c r="ZC117" s="88"/>
      <c r="ZD117" s="88"/>
      <c r="ZE117" s="88"/>
      <c r="ZF117" s="88"/>
      <c r="ZG117" s="88"/>
      <c r="ZH117" s="88"/>
      <c r="ZI117" s="88"/>
      <c r="ZJ117" s="88"/>
      <c r="ZK117" s="88"/>
      <c r="ZL117" s="88"/>
      <c r="ZM117" s="88"/>
      <c r="ZN117" s="88"/>
      <c r="ZO117" s="88"/>
      <c r="ZP117" s="88"/>
      <c r="ZQ117" s="88"/>
      <c r="ZR117" s="88"/>
      <c r="ZS117" s="88"/>
      <c r="ZT117" s="88"/>
      <c r="ZU117" s="88"/>
      <c r="ZV117" s="88"/>
      <c r="ZW117" s="88"/>
      <c r="ZX117" s="88"/>
      <c r="ZY117" s="88"/>
      <c r="ZZ117" s="88"/>
      <c r="AAA117" s="88"/>
      <c r="AAB117" s="88"/>
      <c r="AAC117" s="88"/>
      <c r="AAD117" s="88"/>
      <c r="AAE117" s="88"/>
      <c r="AAF117" s="88"/>
      <c r="AAG117" s="88"/>
      <c r="AAH117" s="88"/>
      <c r="AAI117" s="88"/>
      <c r="AAJ117" s="88"/>
      <c r="AAK117" s="88"/>
      <c r="AAL117" s="88"/>
      <c r="AAM117" s="88"/>
      <c r="AAN117" s="88"/>
      <c r="AAO117" s="88"/>
      <c r="AAP117" s="88"/>
      <c r="AAQ117" s="88"/>
      <c r="AAR117" s="88"/>
      <c r="AAS117" s="88"/>
      <c r="AAT117" s="88"/>
      <c r="AAU117" s="88"/>
      <c r="AAV117" s="88"/>
      <c r="AAW117" s="88"/>
      <c r="AAX117" s="88"/>
      <c r="AAY117" s="88"/>
      <c r="AAZ117" s="88"/>
      <c r="ABA117" s="88"/>
      <c r="ABB117" s="88"/>
      <c r="ABC117" s="88"/>
      <c r="ABD117" s="88"/>
      <c r="ABE117" s="88"/>
      <c r="ABF117" s="88"/>
      <c r="ABG117" s="88"/>
      <c r="ABH117" s="88"/>
      <c r="ABI117" s="88"/>
      <c r="ABJ117" s="88"/>
      <c r="ABK117" s="88"/>
      <c r="ABL117" s="88"/>
      <c r="ABM117" s="88"/>
      <c r="ABN117" s="88"/>
      <c r="ABO117" s="88"/>
      <c r="ABP117" s="88"/>
      <c r="ABQ117" s="88"/>
      <c r="ABR117" s="88"/>
      <c r="ABS117" s="88"/>
      <c r="ABT117" s="88"/>
      <c r="ABU117" s="88"/>
      <c r="ABV117" s="88"/>
      <c r="ABW117" s="88"/>
      <c r="ABX117" s="88"/>
      <c r="ABY117" s="88"/>
      <c r="ABZ117" s="88"/>
      <c r="ACA117" s="88"/>
      <c r="ACB117" s="88"/>
      <c r="ACC117" s="88"/>
      <c r="ACD117" s="88"/>
      <c r="ACE117" s="88"/>
      <c r="ACF117" s="88"/>
      <c r="ACG117" s="88"/>
      <c r="ACH117" s="88"/>
      <c r="ACI117" s="88"/>
      <c r="ACJ117" s="88"/>
      <c r="ACK117" s="88"/>
      <c r="ACL117" s="88"/>
      <c r="ACM117" s="88"/>
      <c r="ACN117" s="88"/>
      <c r="ACO117" s="88"/>
      <c r="ACP117" s="88"/>
      <c r="ACQ117" s="88"/>
      <c r="ACR117" s="88"/>
      <c r="ACS117" s="88"/>
      <c r="ACT117" s="88"/>
      <c r="ACU117" s="88"/>
      <c r="ACV117" s="88"/>
      <c r="ACW117" s="88"/>
      <c r="ACX117" s="88"/>
      <c r="ACY117" s="88"/>
      <c r="ACZ117" s="88"/>
      <c r="ADA117" s="88"/>
      <c r="ADB117" s="88"/>
      <c r="ADC117" s="88"/>
      <c r="ADD117" s="88"/>
      <c r="ADE117" s="88"/>
      <c r="ADF117" s="88"/>
      <c r="ADG117" s="88"/>
      <c r="ADH117" s="88"/>
      <c r="ADI117" s="88"/>
      <c r="ADJ117" s="88"/>
      <c r="ADK117" s="88"/>
      <c r="ADL117" s="88"/>
      <c r="ADM117" s="88"/>
      <c r="ADN117" s="88"/>
      <c r="ADO117" s="88"/>
      <c r="ADP117" s="88"/>
      <c r="ADQ117" s="88"/>
      <c r="ADR117" s="88"/>
      <c r="ADS117" s="88"/>
      <c r="ADT117" s="88"/>
      <c r="ADU117" s="88"/>
      <c r="ADV117" s="88"/>
      <c r="ADW117" s="88"/>
      <c r="ADX117" s="88"/>
      <c r="ADY117" s="88"/>
      <c r="ADZ117" s="88"/>
      <c r="AEA117" s="88"/>
      <c r="AEB117" s="88"/>
      <c r="AEC117" s="88"/>
      <c r="AED117" s="88"/>
      <c r="AEE117" s="88"/>
      <c r="AEF117" s="88"/>
      <c r="AEG117" s="88"/>
      <c r="AEH117" s="88"/>
      <c r="AEI117" s="88"/>
      <c r="AEJ117" s="88"/>
      <c r="AEK117" s="88"/>
      <c r="AEL117" s="88"/>
      <c r="AEM117" s="88"/>
      <c r="AEN117" s="88"/>
      <c r="AEO117" s="88"/>
      <c r="AEP117" s="88"/>
      <c r="AEQ117" s="88"/>
      <c r="AER117" s="88"/>
      <c r="AES117" s="88"/>
      <c r="AET117" s="88"/>
      <c r="AEU117" s="88"/>
      <c r="AEV117" s="88"/>
      <c r="AEW117" s="88"/>
      <c r="AEX117" s="88"/>
      <c r="AEY117" s="88"/>
      <c r="AEZ117" s="88"/>
      <c r="AFA117" s="88"/>
      <c r="AFB117" s="88"/>
      <c r="AFC117" s="88"/>
      <c r="AFD117" s="88"/>
      <c r="AFE117" s="88"/>
      <c r="AFF117" s="88"/>
      <c r="AFG117" s="88"/>
      <c r="AFH117" s="88"/>
      <c r="AFI117" s="88"/>
      <c r="AFJ117" s="88"/>
      <c r="AFK117" s="88"/>
      <c r="AFL117" s="88"/>
      <c r="AFM117" s="88"/>
      <c r="AFN117" s="88"/>
      <c r="AFO117" s="88"/>
      <c r="AFP117" s="88"/>
      <c r="AFQ117" s="88"/>
      <c r="AFR117" s="88"/>
      <c r="AFS117" s="88"/>
      <c r="AFT117" s="88"/>
      <c r="AFU117" s="88"/>
      <c r="AFV117" s="88"/>
      <c r="AFW117" s="88"/>
      <c r="AFX117" s="88"/>
      <c r="AFY117" s="88"/>
      <c r="AFZ117" s="88"/>
      <c r="AGA117" s="88"/>
      <c r="AGB117" s="88"/>
      <c r="AGC117" s="88"/>
      <c r="AGD117" s="88"/>
      <c r="AGE117" s="88"/>
      <c r="AGF117" s="88"/>
      <c r="AGG117" s="88"/>
      <c r="AGH117" s="88"/>
      <c r="AGI117" s="88"/>
      <c r="AGJ117" s="88"/>
      <c r="AGK117" s="88"/>
      <c r="AGL117" s="88"/>
      <c r="AGM117" s="88"/>
      <c r="AGN117" s="88"/>
      <c r="AGO117" s="88"/>
      <c r="AGP117" s="88"/>
      <c r="AGQ117" s="88"/>
      <c r="AGR117" s="88"/>
      <c r="AGS117" s="88"/>
      <c r="AGT117" s="88"/>
      <c r="AGU117" s="88"/>
      <c r="AGV117" s="88"/>
      <c r="AGW117" s="88"/>
      <c r="AGX117" s="88"/>
      <c r="AGY117" s="88"/>
      <c r="AGZ117" s="88"/>
      <c r="AHA117" s="88"/>
      <c r="AHB117" s="88"/>
      <c r="AHC117" s="88"/>
      <c r="AHD117" s="88"/>
      <c r="AHE117" s="88"/>
      <c r="AHF117" s="88"/>
      <c r="AHG117" s="88"/>
      <c r="AHH117" s="88"/>
      <c r="AHI117" s="88"/>
      <c r="AHJ117" s="88"/>
      <c r="AHK117" s="88"/>
      <c r="AHL117" s="88"/>
      <c r="AHM117" s="88"/>
      <c r="AHN117" s="88"/>
      <c r="AHO117" s="88"/>
      <c r="AHP117" s="88"/>
      <c r="AHQ117" s="88"/>
      <c r="AHR117" s="88"/>
      <c r="AHS117" s="88"/>
      <c r="AHT117" s="88"/>
      <c r="AHU117" s="88"/>
      <c r="AHV117" s="88"/>
      <c r="AHW117" s="88"/>
      <c r="AHX117" s="88"/>
      <c r="AHY117" s="88"/>
      <c r="AHZ117" s="88"/>
      <c r="AIA117" s="88"/>
      <c r="AIB117" s="88"/>
      <c r="AIC117" s="88"/>
      <c r="AID117" s="88"/>
      <c r="AIE117" s="88"/>
      <c r="AIF117" s="88"/>
      <c r="AIG117" s="88"/>
      <c r="AIH117" s="88"/>
      <c r="AII117" s="88"/>
      <c r="AIJ117" s="88"/>
      <c r="AIK117" s="88"/>
      <c r="AIL117" s="88"/>
      <c r="AIM117" s="88"/>
      <c r="AIN117" s="88"/>
      <c r="AIO117" s="88"/>
      <c r="AIP117" s="88"/>
      <c r="AIQ117" s="88"/>
      <c r="AIR117" s="88"/>
      <c r="AIS117" s="88"/>
      <c r="AIT117" s="88"/>
      <c r="AIU117" s="88"/>
      <c r="AIV117" s="88"/>
      <c r="AIW117" s="88"/>
      <c r="AIX117" s="88"/>
      <c r="AIY117" s="88"/>
      <c r="AIZ117" s="88"/>
      <c r="AJA117" s="88"/>
      <c r="AJB117" s="88"/>
      <c r="AJC117" s="88"/>
      <c r="AJD117" s="88"/>
      <c r="AJE117" s="88"/>
      <c r="AJF117" s="88"/>
      <c r="AJG117" s="88"/>
      <c r="AJH117" s="88"/>
      <c r="AJI117" s="88"/>
      <c r="AJJ117" s="88"/>
      <c r="AJK117" s="88"/>
      <c r="AJL117" s="88"/>
      <c r="AJM117" s="88"/>
      <c r="AJN117" s="88"/>
      <c r="AJO117" s="88"/>
      <c r="AJP117" s="88"/>
      <c r="AJQ117" s="88"/>
      <c r="AJR117" s="88"/>
      <c r="AJS117" s="88"/>
      <c r="AJT117" s="88"/>
      <c r="AJU117" s="88"/>
      <c r="AJV117" s="88"/>
      <c r="AJW117" s="88"/>
      <c r="AJX117" s="88"/>
      <c r="AJY117" s="88"/>
      <c r="AJZ117" s="88"/>
      <c r="AKA117" s="88"/>
      <c r="AKB117" s="88"/>
      <c r="AKC117" s="88"/>
      <c r="AKD117" s="88"/>
      <c r="AKE117" s="88"/>
      <c r="AKF117" s="88"/>
      <c r="AKG117" s="88"/>
      <c r="AKH117" s="88"/>
      <c r="AKI117" s="88"/>
      <c r="AKJ117" s="88"/>
      <c r="AKK117" s="88"/>
      <c r="AKL117" s="88"/>
      <c r="AKM117" s="88"/>
      <c r="AKN117" s="88"/>
      <c r="AKO117" s="88"/>
      <c r="AKP117" s="88"/>
      <c r="AKQ117" s="88"/>
      <c r="AKR117" s="88"/>
      <c r="AKS117" s="88"/>
      <c r="AKT117" s="88"/>
      <c r="AKU117" s="88"/>
      <c r="AKV117" s="88"/>
      <c r="AKW117" s="88"/>
      <c r="AKX117" s="88"/>
      <c r="AKY117" s="88"/>
      <c r="AKZ117" s="88"/>
      <c r="ALA117" s="88"/>
      <c r="ALB117" s="88"/>
      <c r="ALC117" s="88"/>
      <c r="ALD117" s="88"/>
      <c r="ALE117" s="88"/>
      <c r="ALF117" s="88"/>
      <c r="ALG117" s="88"/>
      <c r="ALH117" s="88"/>
      <c r="ALI117" s="88"/>
      <c r="ALJ117" s="88"/>
      <c r="ALK117" s="88"/>
      <c r="ALL117" s="88"/>
      <c r="ALM117" s="88"/>
      <c r="ALN117" s="88"/>
      <c r="ALO117" s="88"/>
      <c r="ALP117" s="88"/>
      <c r="ALQ117" s="88"/>
      <c r="ALR117" s="88"/>
      <c r="ALS117" s="88"/>
      <c r="ALT117" s="88"/>
      <c r="ALU117" s="88"/>
      <c r="ALV117" s="88"/>
      <c r="ALW117" s="88"/>
      <c r="ALX117" s="88"/>
      <c r="ALY117" s="88"/>
      <c r="ALZ117" s="88"/>
      <c r="AMA117" s="88"/>
      <c r="AMB117" s="88"/>
      <c r="AMC117" s="88"/>
      <c r="AMD117" s="88"/>
      <c r="AME117" s="88"/>
      <c r="AMF117" s="88"/>
      <c r="AMG117" s="88"/>
      <c r="AMH117" s="88"/>
      <c r="AMI117" s="88"/>
      <c r="AMJ117" s="88"/>
      <c r="AMK117" s="88"/>
      <c r="AML117" s="88"/>
      <c r="AMM117" s="88"/>
      <c r="AMN117" s="88"/>
      <c r="AMO117" s="88"/>
      <c r="AMP117" s="88"/>
      <c r="AMQ117" s="88"/>
      <c r="AMR117" s="88"/>
      <c r="AMS117" s="88"/>
      <c r="AMT117" s="88"/>
      <c r="AMU117" s="88"/>
      <c r="AMV117" s="88"/>
      <c r="AMW117" s="88"/>
      <c r="AMX117" s="88"/>
    </row>
    <row r="118" spans="1:1038" s="14" customFormat="1" ht="27.4" customHeight="1" x14ac:dyDescent="0.4">
      <c r="A118" s="97"/>
      <c r="B118" s="117" t="s">
        <v>62</v>
      </c>
      <c r="C118" s="117"/>
      <c r="D118" s="117"/>
      <c r="E118" s="117"/>
      <c r="F118" s="117"/>
      <c r="G118" s="98"/>
      <c r="H118" s="99"/>
      <c r="I118" s="50"/>
      <c r="J118" s="119"/>
      <c r="K118" s="195"/>
      <c r="L118" s="118"/>
      <c r="M118" s="118"/>
      <c r="N118" s="67">
        <f>SUM(N114:N117)</f>
        <v>749440</v>
      </c>
      <c r="O118" s="37">
        <f>SUM(O114:O117)</f>
        <v>0</v>
      </c>
      <c r="P118" s="37">
        <f>SUM(P114:P117)</f>
        <v>853440</v>
      </c>
      <c r="Q118" s="37">
        <f>SUM(Q114:Q117)</f>
        <v>0</v>
      </c>
      <c r="R118" s="36"/>
      <c r="S118" s="36"/>
      <c r="T118" s="102">
        <f>SUM(T114:T117)</f>
        <v>0</v>
      </c>
      <c r="U118" s="102">
        <f>SUM(U114:U117)</f>
        <v>0</v>
      </c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/>
      <c r="AQ118" s="129"/>
      <c r="AR118" s="129"/>
      <c r="AS118" s="129"/>
      <c r="AT118" s="129"/>
      <c r="AU118" s="129"/>
      <c r="AV118" s="129"/>
      <c r="AW118" s="129"/>
      <c r="AX118" s="129"/>
      <c r="AY118" s="129"/>
      <c r="AZ118" s="129"/>
      <c r="BA118" s="129"/>
      <c r="BB118" s="129"/>
      <c r="BC118" s="129"/>
      <c r="BD118" s="129"/>
      <c r="BE118" s="129"/>
      <c r="BF118" s="129"/>
      <c r="BG118" s="129"/>
      <c r="BH118" s="129"/>
      <c r="BI118" s="129"/>
      <c r="BJ118" s="129"/>
      <c r="BK118" s="129"/>
      <c r="BL118" s="129"/>
      <c r="BM118" s="129"/>
      <c r="BN118" s="129"/>
      <c r="BO118" s="129"/>
      <c r="BP118" s="129"/>
      <c r="BQ118" s="129"/>
      <c r="BR118" s="129"/>
      <c r="BS118" s="129"/>
      <c r="BT118" s="129"/>
      <c r="BU118" s="129"/>
      <c r="BV118" s="129"/>
      <c r="BW118" s="129"/>
      <c r="BX118" s="129"/>
      <c r="BY118" s="129"/>
      <c r="BZ118" s="129"/>
      <c r="CA118" s="129"/>
      <c r="CB118" s="129"/>
      <c r="CC118" s="129"/>
      <c r="CD118" s="129"/>
      <c r="CE118" s="129"/>
      <c r="CF118" s="129"/>
      <c r="CG118" s="129"/>
      <c r="CH118" s="129"/>
      <c r="CI118" s="129"/>
      <c r="CJ118" s="129"/>
      <c r="CK118" s="129"/>
      <c r="CL118" s="129"/>
      <c r="CM118" s="129"/>
      <c r="CN118" s="129"/>
      <c r="CO118" s="129"/>
      <c r="CP118" s="129"/>
      <c r="CQ118" s="129"/>
      <c r="CR118" s="129"/>
      <c r="CS118" s="129"/>
      <c r="CT118" s="129"/>
      <c r="CU118" s="129"/>
      <c r="CV118" s="129"/>
      <c r="CW118" s="129"/>
      <c r="CX118" s="129"/>
      <c r="CY118" s="129"/>
      <c r="CZ118" s="129"/>
      <c r="DA118" s="129"/>
      <c r="DB118" s="129"/>
      <c r="DC118" s="129"/>
      <c r="DD118" s="129"/>
      <c r="DE118" s="129"/>
      <c r="DF118" s="129"/>
      <c r="DG118" s="129"/>
      <c r="DH118" s="129"/>
      <c r="DI118" s="129"/>
      <c r="DJ118" s="129"/>
      <c r="DK118" s="129"/>
      <c r="DL118" s="129"/>
      <c r="DM118" s="129"/>
      <c r="DN118" s="129"/>
      <c r="DO118" s="129"/>
      <c r="DP118" s="129"/>
      <c r="DQ118" s="129"/>
      <c r="DR118" s="129"/>
      <c r="DS118" s="129"/>
      <c r="DT118" s="129"/>
      <c r="DU118" s="129"/>
      <c r="DV118" s="129"/>
      <c r="DW118" s="129"/>
      <c r="DX118" s="129"/>
      <c r="DY118" s="129"/>
      <c r="DZ118" s="129"/>
      <c r="EA118" s="129"/>
      <c r="EB118" s="129"/>
      <c r="EC118" s="129"/>
      <c r="ED118" s="129"/>
      <c r="EE118" s="129"/>
      <c r="EF118" s="129"/>
      <c r="EG118" s="129"/>
      <c r="EH118" s="129"/>
      <c r="EI118" s="129"/>
      <c r="EJ118" s="129"/>
      <c r="EK118" s="129"/>
      <c r="EL118" s="129"/>
      <c r="EM118" s="129"/>
      <c r="EN118" s="129"/>
      <c r="EO118" s="129"/>
      <c r="EP118" s="129"/>
      <c r="EQ118" s="129"/>
      <c r="ER118" s="129"/>
      <c r="ES118" s="129"/>
      <c r="ET118" s="129"/>
      <c r="EU118" s="129"/>
      <c r="EV118" s="129"/>
      <c r="EW118" s="129"/>
      <c r="EX118" s="129"/>
      <c r="EY118" s="129"/>
      <c r="EZ118" s="129"/>
      <c r="FA118" s="129"/>
      <c r="FB118" s="129"/>
      <c r="FC118" s="129"/>
      <c r="FD118" s="129"/>
      <c r="FE118" s="129"/>
      <c r="FF118" s="129"/>
      <c r="FG118" s="129"/>
      <c r="FH118" s="129"/>
      <c r="FI118" s="129"/>
      <c r="FJ118" s="129"/>
      <c r="FK118" s="129"/>
      <c r="FL118" s="129"/>
      <c r="FM118" s="129"/>
      <c r="FN118" s="129"/>
      <c r="FO118" s="129"/>
      <c r="FP118" s="129"/>
      <c r="FQ118" s="129"/>
      <c r="FR118" s="129"/>
      <c r="FS118" s="129"/>
      <c r="FT118" s="129"/>
      <c r="FU118" s="129"/>
      <c r="FV118" s="129"/>
      <c r="FW118" s="129"/>
      <c r="FX118" s="129"/>
      <c r="FY118" s="129"/>
      <c r="FZ118" s="129"/>
      <c r="GA118" s="129"/>
      <c r="GB118" s="129"/>
      <c r="GC118" s="129"/>
      <c r="GD118" s="129"/>
      <c r="GE118" s="129"/>
      <c r="GF118" s="129"/>
      <c r="GG118" s="129"/>
      <c r="GH118" s="129"/>
      <c r="GI118" s="129"/>
      <c r="GJ118" s="129"/>
      <c r="GK118" s="129"/>
      <c r="GL118" s="129"/>
      <c r="GM118" s="129"/>
      <c r="GN118" s="129"/>
      <c r="GO118" s="129"/>
      <c r="GP118" s="129"/>
      <c r="GQ118" s="129"/>
      <c r="GR118" s="129"/>
      <c r="GS118" s="129"/>
      <c r="GT118" s="129"/>
      <c r="GU118" s="129"/>
      <c r="GV118" s="129"/>
      <c r="GW118" s="129"/>
      <c r="GX118" s="129"/>
      <c r="GY118" s="129"/>
      <c r="GZ118" s="129"/>
      <c r="HA118" s="129"/>
      <c r="HB118" s="129"/>
      <c r="HC118" s="129"/>
      <c r="HD118" s="129"/>
      <c r="HE118" s="129"/>
      <c r="HF118" s="129"/>
      <c r="HG118" s="129"/>
      <c r="HH118" s="129"/>
      <c r="HI118" s="129"/>
      <c r="HJ118" s="129"/>
      <c r="HK118" s="129"/>
      <c r="HL118" s="129"/>
      <c r="HM118" s="129"/>
      <c r="HN118" s="129"/>
      <c r="HO118" s="129"/>
      <c r="HP118" s="129"/>
      <c r="HQ118" s="129"/>
      <c r="HR118" s="129"/>
      <c r="HS118" s="129"/>
      <c r="HT118" s="129"/>
      <c r="HU118" s="129"/>
      <c r="HV118" s="129"/>
      <c r="HW118" s="129"/>
      <c r="HX118" s="129"/>
      <c r="HY118" s="129"/>
      <c r="HZ118" s="129"/>
      <c r="IA118" s="129"/>
      <c r="IB118" s="129"/>
      <c r="IC118" s="129"/>
      <c r="ID118" s="129"/>
      <c r="IE118" s="129"/>
      <c r="IF118" s="129"/>
      <c r="IG118" s="129"/>
      <c r="IH118" s="129"/>
      <c r="II118" s="129"/>
      <c r="IJ118" s="129"/>
      <c r="IK118" s="129"/>
      <c r="IL118" s="129"/>
      <c r="IM118" s="129"/>
      <c r="IN118" s="129"/>
      <c r="IO118" s="129"/>
      <c r="IP118" s="129"/>
      <c r="IQ118" s="129"/>
      <c r="IR118" s="129"/>
      <c r="IS118" s="129"/>
      <c r="IT118" s="129"/>
      <c r="IU118" s="129"/>
      <c r="IV118" s="129"/>
      <c r="IW118" s="129"/>
      <c r="IX118" s="129"/>
      <c r="IY118" s="129"/>
      <c r="IZ118" s="129"/>
      <c r="JA118" s="129"/>
      <c r="JB118" s="129"/>
      <c r="JC118" s="129"/>
      <c r="JD118" s="129"/>
      <c r="JE118" s="129"/>
      <c r="JF118" s="129"/>
      <c r="JG118" s="129"/>
      <c r="JH118" s="129"/>
      <c r="JI118" s="129"/>
      <c r="JJ118" s="129"/>
      <c r="JK118" s="129"/>
      <c r="JL118" s="129"/>
      <c r="JM118" s="129"/>
      <c r="JN118" s="129"/>
      <c r="JO118" s="129"/>
      <c r="JP118" s="129"/>
      <c r="JQ118" s="129"/>
      <c r="JR118" s="129"/>
      <c r="JS118" s="129"/>
      <c r="JT118" s="129"/>
      <c r="JU118" s="129"/>
      <c r="JV118" s="129"/>
      <c r="JW118" s="129"/>
      <c r="JX118" s="129"/>
      <c r="JY118" s="129"/>
      <c r="JZ118" s="129"/>
      <c r="KA118" s="129"/>
      <c r="KB118" s="129"/>
      <c r="KC118" s="129"/>
      <c r="KD118" s="129"/>
      <c r="KE118" s="129"/>
      <c r="KF118" s="129"/>
      <c r="KG118" s="129"/>
      <c r="KH118" s="129"/>
      <c r="KI118" s="129"/>
      <c r="KJ118" s="129"/>
      <c r="KK118" s="129"/>
      <c r="KL118" s="129"/>
      <c r="KM118" s="129"/>
      <c r="KN118" s="129"/>
      <c r="KO118" s="129"/>
      <c r="KP118" s="129"/>
      <c r="KQ118" s="129"/>
      <c r="KR118" s="129"/>
      <c r="KS118" s="129"/>
      <c r="KT118" s="129"/>
      <c r="KU118" s="129"/>
      <c r="KV118" s="129"/>
      <c r="KW118" s="129"/>
      <c r="KX118" s="129"/>
      <c r="KY118" s="129"/>
      <c r="KZ118" s="129"/>
      <c r="LA118" s="129"/>
      <c r="LB118" s="129"/>
      <c r="LC118" s="129"/>
      <c r="LD118" s="129"/>
      <c r="LE118" s="129"/>
      <c r="LF118" s="129"/>
      <c r="LG118" s="129"/>
      <c r="LH118" s="129"/>
      <c r="LI118" s="129"/>
      <c r="LJ118" s="129"/>
      <c r="LK118" s="129"/>
      <c r="LL118" s="129"/>
      <c r="LM118" s="129"/>
      <c r="LN118" s="129"/>
      <c r="LO118" s="129"/>
      <c r="LP118" s="129"/>
      <c r="LQ118" s="129"/>
      <c r="LR118" s="129"/>
      <c r="LS118" s="129"/>
      <c r="LT118" s="129"/>
      <c r="LU118" s="129"/>
      <c r="LV118" s="129"/>
      <c r="LW118" s="129"/>
      <c r="LX118" s="129"/>
      <c r="LY118" s="129"/>
      <c r="LZ118" s="129"/>
      <c r="MA118" s="129"/>
      <c r="MB118" s="129"/>
      <c r="MC118" s="129"/>
      <c r="MD118" s="129"/>
      <c r="ME118" s="129"/>
      <c r="MF118" s="129"/>
      <c r="MG118" s="129"/>
      <c r="MH118" s="129"/>
      <c r="MI118" s="129"/>
      <c r="MJ118" s="129"/>
      <c r="MK118" s="129"/>
      <c r="ML118" s="129"/>
      <c r="MM118" s="129"/>
      <c r="MN118" s="129"/>
      <c r="MO118" s="129"/>
      <c r="MP118" s="129"/>
      <c r="MQ118" s="129"/>
      <c r="MR118" s="129"/>
      <c r="MS118" s="129"/>
      <c r="MT118" s="129"/>
      <c r="MU118" s="129"/>
      <c r="MV118" s="129"/>
      <c r="MW118" s="129"/>
      <c r="MX118" s="129"/>
      <c r="MY118" s="129"/>
      <c r="MZ118" s="129"/>
      <c r="NA118" s="129"/>
      <c r="NB118" s="129"/>
      <c r="NC118" s="129"/>
      <c r="ND118" s="129"/>
      <c r="NE118" s="129"/>
      <c r="NF118" s="129"/>
      <c r="NG118" s="129"/>
      <c r="NH118" s="129"/>
      <c r="NI118" s="129"/>
      <c r="NJ118" s="129"/>
      <c r="NK118" s="129"/>
      <c r="NL118" s="129"/>
      <c r="NM118" s="129"/>
      <c r="NN118" s="129"/>
      <c r="NO118" s="129"/>
      <c r="NP118" s="129"/>
      <c r="NQ118" s="129"/>
      <c r="NR118" s="129"/>
      <c r="NS118" s="129"/>
      <c r="NT118" s="129"/>
      <c r="NU118" s="129"/>
      <c r="NV118" s="129"/>
      <c r="NW118" s="129"/>
      <c r="NX118" s="129"/>
      <c r="NY118" s="129"/>
      <c r="NZ118" s="129"/>
      <c r="OA118" s="129"/>
      <c r="OB118" s="129"/>
      <c r="OC118" s="129"/>
      <c r="OD118" s="129"/>
      <c r="OE118" s="129"/>
      <c r="OF118" s="129"/>
      <c r="OG118" s="129"/>
      <c r="OH118" s="129"/>
      <c r="OI118" s="129"/>
      <c r="OJ118" s="129"/>
      <c r="OK118" s="129"/>
      <c r="OL118" s="129"/>
      <c r="OM118" s="129"/>
      <c r="ON118" s="129"/>
      <c r="OO118" s="129"/>
      <c r="OP118" s="129"/>
      <c r="OQ118" s="129"/>
      <c r="OR118" s="129"/>
      <c r="OS118" s="129"/>
      <c r="OT118" s="129"/>
      <c r="OU118" s="129"/>
      <c r="OV118" s="129"/>
      <c r="OW118" s="129"/>
      <c r="OX118" s="129"/>
      <c r="OY118" s="129"/>
      <c r="OZ118" s="129"/>
      <c r="PA118" s="129"/>
      <c r="PB118" s="129"/>
      <c r="PC118" s="129"/>
      <c r="PD118" s="129"/>
      <c r="PE118" s="129"/>
      <c r="PF118" s="129"/>
      <c r="PG118" s="129"/>
      <c r="PH118" s="129"/>
      <c r="PI118" s="129"/>
      <c r="PJ118" s="129"/>
      <c r="PK118" s="129"/>
      <c r="PL118" s="129"/>
      <c r="PM118" s="129"/>
      <c r="PN118" s="129"/>
      <c r="PO118" s="129"/>
      <c r="PP118" s="129"/>
      <c r="PQ118" s="129"/>
      <c r="PR118" s="129"/>
      <c r="PS118" s="129"/>
      <c r="PT118" s="129"/>
      <c r="PU118" s="129"/>
      <c r="PV118" s="129"/>
      <c r="PW118" s="129"/>
      <c r="PX118" s="129"/>
      <c r="PY118" s="129"/>
      <c r="PZ118" s="129"/>
      <c r="QA118" s="129"/>
      <c r="QB118" s="129"/>
      <c r="QC118" s="129"/>
      <c r="QD118" s="129"/>
      <c r="QE118" s="129"/>
      <c r="QF118" s="129"/>
      <c r="QG118" s="129"/>
      <c r="QH118" s="129"/>
      <c r="QI118" s="129"/>
      <c r="QJ118" s="129"/>
      <c r="QK118" s="129"/>
      <c r="QL118" s="129"/>
      <c r="QM118" s="129"/>
      <c r="QN118" s="129"/>
      <c r="QO118" s="129"/>
      <c r="QP118" s="129"/>
      <c r="QQ118" s="129"/>
      <c r="QR118" s="129"/>
      <c r="QS118" s="129"/>
      <c r="QT118" s="129"/>
      <c r="QU118" s="129"/>
      <c r="QV118" s="129"/>
      <c r="QW118" s="129"/>
      <c r="QX118" s="129"/>
      <c r="QY118" s="129"/>
      <c r="QZ118" s="129"/>
      <c r="RA118" s="129"/>
      <c r="RB118" s="129"/>
      <c r="RC118" s="129"/>
      <c r="RD118" s="129"/>
      <c r="RE118" s="129"/>
      <c r="RF118" s="129"/>
      <c r="RG118" s="129"/>
      <c r="RH118" s="129"/>
      <c r="RI118" s="129"/>
      <c r="RJ118" s="129"/>
      <c r="RK118" s="129"/>
      <c r="RL118" s="129"/>
      <c r="RM118" s="129"/>
      <c r="RN118" s="129"/>
      <c r="RO118" s="129"/>
      <c r="RP118" s="129"/>
      <c r="RQ118" s="129"/>
      <c r="RR118" s="129"/>
      <c r="RS118" s="129"/>
      <c r="RT118" s="129"/>
      <c r="RU118" s="129"/>
      <c r="RV118" s="129"/>
      <c r="RW118" s="129"/>
      <c r="RX118" s="129"/>
      <c r="RY118" s="129"/>
      <c r="RZ118" s="129"/>
      <c r="SA118" s="129"/>
      <c r="SB118" s="129"/>
      <c r="SC118" s="129"/>
      <c r="SD118" s="129"/>
      <c r="SE118" s="129"/>
      <c r="SF118" s="129"/>
      <c r="SG118" s="129"/>
      <c r="SH118" s="129"/>
      <c r="SI118" s="129"/>
      <c r="SJ118" s="129"/>
      <c r="SK118" s="129"/>
      <c r="SL118" s="129"/>
      <c r="SM118" s="129"/>
      <c r="SN118" s="129"/>
      <c r="SO118" s="129"/>
      <c r="SP118" s="129"/>
      <c r="SQ118" s="129"/>
      <c r="SR118" s="129"/>
      <c r="SS118" s="129"/>
      <c r="ST118" s="129"/>
      <c r="SU118" s="129"/>
      <c r="SV118" s="129"/>
      <c r="SW118" s="129"/>
      <c r="SX118" s="129"/>
      <c r="SY118" s="129"/>
      <c r="SZ118" s="129"/>
      <c r="TA118" s="129"/>
      <c r="TB118" s="129"/>
      <c r="TC118" s="129"/>
      <c r="TD118" s="129"/>
      <c r="TE118" s="129"/>
      <c r="TF118" s="129"/>
      <c r="TG118" s="129"/>
      <c r="TH118" s="129"/>
      <c r="TI118" s="129"/>
      <c r="TJ118" s="129"/>
      <c r="TK118" s="129"/>
      <c r="TL118" s="129"/>
      <c r="TM118" s="129"/>
      <c r="TN118" s="129"/>
      <c r="TO118" s="129"/>
      <c r="TP118" s="129"/>
      <c r="TQ118" s="129"/>
      <c r="TR118" s="129"/>
      <c r="TS118" s="129"/>
      <c r="TT118" s="129"/>
      <c r="TU118" s="129"/>
      <c r="TV118" s="129"/>
      <c r="TW118" s="129"/>
      <c r="TX118" s="129"/>
      <c r="TY118" s="129"/>
      <c r="TZ118" s="129"/>
      <c r="UA118" s="129"/>
      <c r="UB118" s="129"/>
      <c r="UC118" s="129"/>
      <c r="UD118" s="129"/>
      <c r="UE118" s="129"/>
      <c r="UF118" s="129"/>
      <c r="UG118" s="129"/>
      <c r="UH118" s="129"/>
      <c r="UI118" s="129"/>
      <c r="UJ118" s="129"/>
      <c r="UK118" s="129"/>
      <c r="UL118" s="129"/>
      <c r="UM118" s="129"/>
      <c r="UN118" s="129"/>
      <c r="UO118" s="129"/>
      <c r="UP118" s="129"/>
      <c r="UQ118" s="129"/>
      <c r="UR118" s="129"/>
      <c r="US118" s="129"/>
      <c r="UT118" s="129"/>
      <c r="UU118" s="129"/>
      <c r="UV118" s="129"/>
      <c r="UW118" s="129"/>
      <c r="UX118" s="129"/>
      <c r="UY118" s="129"/>
      <c r="UZ118" s="129"/>
      <c r="VA118" s="129"/>
      <c r="VB118" s="129"/>
      <c r="VC118" s="129"/>
      <c r="VD118" s="129"/>
      <c r="VE118" s="129"/>
      <c r="VF118" s="129"/>
      <c r="VG118" s="129"/>
      <c r="VH118" s="129"/>
      <c r="VI118" s="129"/>
      <c r="VJ118" s="129"/>
      <c r="VK118" s="129"/>
      <c r="VL118" s="129"/>
      <c r="VM118" s="129"/>
      <c r="VN118" s="129"/>
      <c r="VO118" s="129"/>
      <c r="VP118" s="129"/>
      <c r="VQ118" s="129"/>
      <c r="VR118" s="129"/>
      <c r="VS118" s="129"/>
      <c r="VT118" s="129"/>
      <c r="VU118" s="129"/>
      <c r="VV118" s="129"/>
      <c r="VW118" s="129"/>
      <c r="VX118" s="129"/>
      <c r="VY118" s="129"/>
      <c r="VZ118" s="129"/>
      <c r="WA118" s="129"/>
      <c r="WB118" s="129"/>
      <c r="WC118" s="129"/>
      <c r="WD118" s="129"/>
      <c r="WE118" s="129"/>
      <c r="WF118" s="129"/>
      <c r="WG118" s="129"/>
      <c r="WH118" s="129"/>
      <c r="WI118" s="129"/>
      <c r="WJ118" s="129"/>
      <c r="WK118" s="129"/>
      <c r="WL118" s="129"/>
      <c r="WM118" s="129"/>
      <c r="WN118" s="129"/>
      <c r="WO118" s="129"/>
      <c r="WP118" s="129"/>
      <c r="WQ118" s="129"/>
      <c r="WR118" s="129"/>
      <c r="WS118" s="129"/>
      <c r="WT118" s="129"/>
      <c r="WU118" s="129"/>
      <c r="WV118" s="129"/>
      <c r="WW118" s="129"/>
      <c r="WX118" s="129"/>
      <c r="WY118" s="129"/>
      <c r="WZ118" s="129"/>
      <c r="XA118" s="129"/>
      <c r="XB118" s="129"/>
      <c r="XC118" s="129"/>
      <c r="XD118" s="129"/>
      <c r="XE118" s="129"/>
      <c r="XF118" s="129"/>
      <c r="XG118" s="129"/>
      <c r="XH118" s="129"/>
      <c r="XI118" s="129"/>
      <c r="XJ118" s="129"/>
      <c r="XK118" s="129"/>
      <c r="XL118" s="129"/>
      <c r="XM118" s="129"/>
      <c r="XN118" s="129"/>
      <c r="XO118" s="129"/>
      <c r="XP118" s="129"/>
      <c r="XQ118" s="129"/>
      <c r="XR118" s="129"/>
      <c r="XS118" s="129"/>
      <c r="XT118" s="129"/>
      <c r="XU118" s="129"/>
      <c r="XV118" s="129"/>
      <c r="XW118" s="129"/>
      <c r="XX118" s="129"/>
      <c r="XY118" s="129"/>
      <c r="XZ118" s="129"/>
      <c r="YA118" s="129"/>
      <c r="YB118" s="129"/>
      <c r="YC118" s="129"/>
      <c r="YD118" s="129"/>
      <c r="YE118" s="129"/>
      <c r="YF118" s="129"/>
      <c r="YG118" s="129"/>
      <c r="YH118" s="129"/>
      <c r="YI118" s="129"/>
      <c r="YJ118" s="129"/>
      <c r="YK118" s="129"/>
      <c r="YL118" s="129"/>
      <c r="YM118" s="129"/>
      <c r="YN118" s="129"/>
      <c r="YO118" s="129"/>
      <c r="YP118" s="129"/>
      <c r="YQ118" s="129"/>
      <c r="YR118" s="129"/>
      <c r="YS118" s="129"/>
      <c r="YT118" s="129"/>
      <c r="YU118" s="129"/>
      <c r="YV118" s="129"/>
      <c r="YW118" s="129"/>
      <c r="YX118" s="129"/>
      <c r="YY118" s="129"/>
      <c r="YZ118" s="129"/>
      <c r="ZA118" s="129"/>
      <c r="ZB118" s="129"/>
      <c r="ZC118" s="129"/>
      <c r="ZD118" s="129"/>
      <c r="ZE118" s="129"/>
      <c r="ZF118" s="129"/>
      <c r="ZG118" s="129"/>
      <c r="ZH118" s="129"/>
      <c r="ZI118" s="129"/>
      <c r="ZJ118" s="129"/>
      <c r="ZK118" s="129"/>
      <c r="ZL118" s="129"/>
      <c r="ZM118" s="129"/>
      <c r="ZN118" s="129"/>
      <c r="ZO118" s="129"/>
      <c r="ZP118" s="129"/>
      <c r="ZQ118" s="129"/>
      <c r="ZR118" s="129"/>
      <c r="ZS118" s="129"/>
      <c r="ZT118" s="129"/>
      <c r="ZU118" s="129"/>
      <c r="ZV118" s="129"/>
      <c r="ZW118" s="129"/>
      <c r="ZX118" s="129"/>
      <c r="ZY118" s="129"/>
      <c r="ZZ118" s="129"/>
      <c r="AAA118" s="129"/>
      <c r="AAB118" s="129"/>
      <c r="AAC118" s="129"/>
      <c r="AAD118" s="129"/>
      <c r="AAE118" s="129"/>
      <c r="AAF118" s="129"/>
      <c r="AAG118" s="129"/>
      <c r="AAH118" s="129"/>
      <c r="AAI118" s="129"/>
      <c r="AAJ118" s="129"/>
      <c r="AAK118" s="129"/>
      <c r="AAL118" s="129"/>
      <c r="AAM118" s="129"/>
      <c r="AAN118" s="129"/>
      <c r="AAO118" s="129"/>
      <c r="AAP118" s="129"/>
      <c r="AAQ118" s="129"/>
      <c r="AAR118" s="129"/>
      <c r="AAS118" s="129"/>
      <c r="AAT118" s="129"/>
      <c r="AAU118" s="129"/>
      <c r="AAV118" s="129"/>
      <c r="AAW118" s="129"/>
      <c r="AAX118" s="129"/>
      <c r="AAY118" s="129"/>
      <c r="AAZ118" s="129"/>
      <c r="ABA118" s="129"/>
      <c r="ABB118" s="129"/>
      <c r="ABC118" s="129"/>
      <c r="ABD118" s="129"/>
      <c r="ABE118" s="129"/>
      <c r="ABF118" s="129"/>
      <c r="ABG118" s="129"/>
      <c r="ABH118" s="129"/>
      <c r="ABI118" s="129"/>
      <c r="ABJ118" s="129"/>
      <c r="ABK118" s="129"/>
      <c r="ABL118" s="129"/>
      <c r="ABM118" s="129"/>
      <c r="ABN118" s="129"/>
      <c r="ABO118" s="129"/>
      <c r="ABP118" s="129"/>
      <c r="ABQ118" s="129"/>
      <c r="ABR118" s="129"/>
      <c r="ABS118" s="129"/>
      <c r="ABT118" s="129"/>
      <c r="ABU118" s="129"/>
      <c r="ABV118" s="129"/>
      <c r="ABW118" s="129"/>
      <c r="ABX118" s="129"/>
      <c r="ABY118" s="129"/>
      <c r="ABZ118" s="129"/>
      <c r="ACA118" s="129"/>
      <c r="ACB118" s="129"/>
      <c r="ACC118" s="129"/>
      <c r="ACD118" s="129"/>
      <c r="ACE118" s="129"/>
      <c r="ACF118" s="129"/>
      <c r="ACG118" s="129"/>
      <c r="ACH118" s="129"/>
      <c r="ACI118" s="129"/>
      <c r="ACJ118" s="129"/>
      <c r="ACK118" s="129"/>
      <c r="ACL118" s="129"/>
      <c r="ACM118" s="129"/>
      <c r="ACN118" s="129"/>
      <c r="ACO118" s="129"/>
      <c r="ACP118" s="129"/>
      <c r="ACQ118" s="129"/>
      <c r="ACR118" s="129"/>
      <c r="ACS118" s="129"/>
      <c r="ACT118" s="129"/>
      <c r="ACU118" s="129"/>
      <c r="ACV118" s="129"/>
      <c r="ACW118" s="129"/>
      <c r="ACX118" s="129"/>
      <c r="ACY118" s="129"/>
      <c r="ACZ118" s="129"/>
      <c r="ADA118" s="129"/>
      <c r="ADB118" s="129"/>
      <c r="ADC118" s="129"/>
      <c r="ADD118" s="129"/>
      <c r="ADE118" s="129"/>
      <c r="ADF118" s="129"/>
      <c r="ADG118" s="129"/>
      <c r="ADH118" s="129"/>
      <c r="ADI118" s="129"/>
      <c r="ADJ118" s="129"/>
      <c r="ADK118" s="129"/>
      <c r="ADL118" s="129"/>
      <c r="ADM118" s="129"/>
      <c r="ADN118" s="129"/>
      <c r="ADO118" s="129"/>
      <c r="ADP118" s="129"/>
      <c r="ADQ118" s="129"/>
      <c r="ADR118" s="129"/>
      <c r="ADS118" s="129"/>
      <c r="ADT118" s="129"/>
      <c r="ADU118" s="129"/>
      <c r="ADV118" s="129"/>
      <c r="ADW118" s="129"/>
      <c r="ADX118" s="129"/>
      <c r="ADY118" s="129"/>
      <c r="ADZ118" s="129"/>
      <c r="AEA118" s="129"/>
      <c r="AEB118" s="129"/>
      <c r="AEC118" s="129"/>
      <c r="AED118" s="129"/>
      <c r="AEE118" s="129"/>
      <c r="AEF118" s="129"/>
      <c r="AEG118" s="129"/>
      <c r="AEH118" s="129"/>
      <c r="AEI118" s="129"/>
      <c r="AEJ118" s="129"/>
      <c r="AEK118" s="129"/>
      <c r="AEL118" s="129"/>
      <c r="AEM118" s="129"/>
      <c r="AEN118" s="129"/>
      <c r="AEO118" s="129"/>
      <c r="AEP118" s="129"/>
      <c r="AEQ118" s="129"/>
      <c r="AER118" s="129"/>
      <c r="AES118" s="129"/>
      <c r="AET118" s="129"/>
      <c r="AEU118" s="129"/>
      <c r="AEV118" s="129"/>
      <c r="AEW118" s="129"/>
      <c r="AEX118" s="129"/>
      <c r="AEY118" s="129"/>
      <c r="AEZ118" s="129"/>
      <c r="AFA118" s="129"/>
      <c r="AFB118" s="129"/>
      <c r="AFC118" s="129"/>
      <c r="AFD118" s="129"/>
      <c r="AFE118" s="129"/>
      <c r="AFF118" s="129"/>
      <c r="AFG118" s="129"/>
      <c r="AFH118" s="129"/>
      <c r="AFI118" s="129"/>
      <c r="AFJ118" s="129"/>
      <c r="AFK118" s="129"/>
      <c r="AFL118" s="129"/>
      <c r="AFM118" s="129"/>
      <c r="AFN118" s="129"/>
      <c r="AFO118" s="129"/>
      <c r="AFP118" s="129"/>
      <c r="AFQ118" s="129"/>
      <c r="AFR118" s="129"/>
      <c r="AFS118" s="129"/>
      <c r="AFT118" s="129"/>
      <c r="AFU118" s="129"/>
      <c r="AFV118" s="129"/>
      <c r="AFW118" s="129"/>
      <c r="AFX118" s="129"/>
      <c r="AFY118" s="129"/>
      <c r="AFZ118" s="129"/>
      <c r="AGA118" s="129"/>
      <c r="AGB118" s="129"/>
      <c r="AGC118" s="129"/>
      <c r="AGD118" s="129"/>
      <c r="AGE118" s="129"/>
      <c r="AGF118" s="129"/>
      <c r="AGG118" s="129"/>
      <c r="AGH118" s="129"/>
      <c r="AGI118" s="129"/>
      <c r="AGJ118" s="129"/>
      <c r="AGK118" s="129"/>
      <c r="AGL118" s="129"/>
      <c r="AGM118" s="129"/>
      <c r="AGN118" s="129"/>
      <c r="AGO118" s="129"/>
      <c r="AGP118" s="129"/>
      <c r="AGQ118" s="129"/>
      <c r="AGR118" s="129"/>
      <c r="AGS118" s="129"/>
      <c r="AGT118" s="129"/>
      <c r="AGU118" s="129"/>
      <c r="AGV118" s="129"/>
      <c r="AGW118" s="129"/>
      <c r="AGX118" s="129"/>
      <c r="AGY118" s="129"/>
      <c r="AGZ118" s="129"/>
      <c r="AHA118" s="129"/>
      <c r="AHB118" s="129"/>
      <c r="AHC118" s="129"/>
      <c r="AHD118" s="129"/>
      <c r="AHE118" s="129"/>
      <c r="AHF118" s="129"/>
      <c r="AHG118" s="129"/>
      <c r="AHH118" s="129"/>
      <c r="AHI118" s="129"/>
      <c r="AHJ118" s="129"/>
      <c r="AHK118" s="129"/>
      <c r="AHL118" s="129"/>
      <c r="AHM118" s="129"/>
      <c r="AHN118" s="129"/>
      <c r="AHO118" s="129"/>
      <c r="AHP118" s="129"/>
      <c r="AHQ118" s="129"/>
      <c r="AHR118" s="129"/>
      <c r="AHS118" s="129"/>
      <c r="AHT118" s="129"/>
      <c r="AHU118" s="129"/>
      <c r="AHV118" s="129"/>
      <c r="AHW118" s="129"/>
      <c r="AHX118" s="129"/>
      <c r="AHY118" s="129"/>
      <c r="AHZ118" s="129"/>
      <c r="AIA118" s="129"/>
      <c r="AIB118" s="129"/>
      <c r="AIC118" s="129"/>
      <c r="AID118" s="129"/>
      <c r="AIE118" s="129"/>
      <c r="AIF118" s="129"/>
      <c r="AIG118" s="129"/>
      <c r="AIH118" s="129"/>
      <c r="AII118" s="129"/>
      <c r="AIJ118" s="129"/>
      <c r="AIK118" s="129"/>
      <c r="AIL118" s="129"/>
      <c r="AIM118" s="129"/>
      <c r="AIN118" s="129"/>
      <c r="AIO118" s="129"/>
      <c r="AIP118" s="129"/>
      <c r="AIQ118" s="129"/>
      <c r="AIR118" s="129"/>
      <c r="AIS118" s="129"/>
      <c r="AIT118" s="129"/>
      <c r="AIU118" s="129"/>
      <c r="AIV118" s="129"/>
      <c r="AIW118" s="129"/>
      <c r="AIX118" s="129"/>
      <c r="AIY118" s="129"/>
      <c r="AIZ118" s="129"/>
      <c r="AJA118" s="129"/>
      <c r="AJB118" s="129"/>
      <c r="AJC118" s="129"/>
      <c r="AJD118" s="129"/>
      <c r="AJE118" s="129"/>
      <c r="AJF118" s="129"/>
      <c r="AJG118" s="129"/>
      <c r="AJH118" s="129"/>
      <c r="AJI118" s="129"/>
      <c r="AJJ118" s="129"/>
      <c r="AJK118" s="129"/>
      <c r="AJL118" s="129"/>
      <c r="AJM118" s="129"/>
      <c r="AJN118" s="129"/>
      <c r="AJO118" s="129"/>
      <c r="AJP118" s="129"/>
      <c r="AJQ118" s="129"/>
      <c r="AJR118" s="129"/>
      <c r="AJS118" s="129"/>
      <c r="AJT118" s="129"/>
      <c r="AJU118" s="129"/>
      <c r="AJV118" s="129"/>
      <c r="AJW118" s="129"/>
      <c r="AJX118" s="129"/>
      <c r="AJY118" s="129"/>
      <c r="AJZ118" s="129"/>
      <c r="AKA118" s="129"/>
      <c r="AKB118" s="129"/>
      <c r="AKC118" s="129"/>
      <c r="AKD118" s="129"/>
      <c r="AKE118" s="129"/>
      <c r="AKF118" s="129"/>
      <c r="AKG118" s="129"/>
      <c r="AKH118" s="129"/>
      <c r="AKI118" s="129"/>
      <c r="AKJ118" s="129"/>
      <c r="AKK118" s="129"/>
      <c r="AKL118" s="129"/>
      <c r="AKM118" s="129"/>
      <c r="AKN118" s="129"/>
      <c r="AKO118" s="129"/>
      <c r="AKP118" s="129"/>
      <c r="AKQ118" s="129"/>
      <c r="AKR118" s="129"/>
      <c r="AKS118" s="129"/>
      <c r="AKT118" s="129"/>
      <c r="AKU118" s="129"/>
      <c r="AKV118" s="129"/>
      <c r="AKW118" s="129"/>
      <c r="AKX118" s="129"/>
      <c r="AKY118" s="129"/>
      <c r="AKZ118" s="129"/>
      <c r="ALA118" s="129"/>
      <c r="ALB118" s="129"/>
      <c r="ALC118" s="129"/>
      <c r="ALD118" s="129"/>
      <c r="ALE118" s="129"/>
      <c r="ALF118" s="129"/>
      <c r="ALG118" s="129"/>
      <c r="ALH118" s="129"/>
      <c r="ALI118" s="129"/>
      <c r="ALJ118" s="129"/>
      <c r="ALK118" s="129"/>
      <c r="ALL118" s="129"/>
      <c r="ALM118" s="129"/>
      <c r="ALN118" s="129"/>
      <c r="ALO118" s="129"/>
      <c r="ALP118" s="129"/>
      <c r="ALQ118" s="129"/>
      <c r="ALR118" s="129"/>
      <c r="ALS118" s="129"/>
      <c r="ALT118" s="129"/>
      <c r="ALU118" s="129"/>
      <c r="ALV118" s="129"/>
      <c r="ALW118" s="129"/>
      <c r="ALX118" s="129"/>
      <c r="ALY118" s="129"/>
      <c r="ALZ118" s="129"/>
      <c r="AMA118" s="129"/>
      <c r="AMB118" s="129"/>
      <c r="AMC118" s="129"/>
      <c r="AMD118" s="129"/>
      <c r="AME118" s="129"/>
      <c r="AMF118" s="129"/>
      <c r="AMG118" s="129"/>
      <c r="AMH118" s="129"/>
      <c r="AMI118" s="129"/>
      <c r="AMJ118" s="129"/>
      <c r="AMK118" s="129"/>
      <c r="AML118" s="129"/>
      <c r="AMM118" s="129"/>
      <c r="AMN118" s="129"/>
      <c r="AMO118" s="129"/>
      <c r="AMP118" s="129"/>
      <c r="AMQ118" s="129"/>
      <c r="AMR118" s="129"/>
      <c r="AMS118" s="129"/>
      <c r="AMT118" s="129"/>
      <c r="AMU118" s="129"/>
      <c r="AMV118" s="129"/>
      <c r="AMW118" s="129"/>
      <c r="AMX118" s="129"/>
    </row>
    <row r="119" spans="1:1038" s="6" customFormat="1" ht="27.4" customHeight="1" x14ac:dyDescent="0.2">
      <c r="A119" s="121"/>
      <c r="B119" s="122"/>
      <c r="C119" s="122"/>
      <c r="D119" s="122"/>
      <c r="E119" s="122"/>
      <c r="F119" s="122"/>
      <c r="G119" s="123"/>
      <c r="H119" s="124"/>
      <c r="I119" s="115"/>
      <c r="J119" s="125"/>
      <c r="K119" s="196"/>
      <c r="L119" s="42"/>
      <c r="M119" s="42"/>
      <c r="N119" s="209"/>
      <c r="O119" s="127"/>
      <c r="P119" s="126"/>
      <c r="Q119" s="127"/>
      <c r="R119" s="126"/>
      <c r="S119" s="127"/>
      <c r="T119" s="128"/>
      <c r="U119" s="121"/>
      <c r="V119" s="89"/>
      <c r="W119" s="89"/>
      <c r="X119" s="89"/>
      <c r="Y119" s="89"/>
      <c r="Z119" s="89"/>
      <c r="AA119" s="89"/>
      <c r="AB119" s="89"/>
      <c r="AC119" s="89"/>
      <c r="AD119" s="89"/>
      <c r="AE119" s="89"/>
      <c r="AF119" s="89"/>
      <c r="AG119" s="89"/>
      <c r="AH119" s="89"/>
      <c r="AI119" s="89"/>
      <c r="AJ119" s="89"/>
      <c r="AK119" s="89"/>
      <c r="AL119" s="89"/>
      <c r="AM119" s="89"/>
      <c r="AN119" s="89"/>
      <c r="AO119" s="89"/>
      <c r="AP119" s="89"/>
      <c r="AQ119" s="89"/>
      <c r="AR119" s="89"/>
      <c r="AS119" s="89"/>
      <c r="AT119" s="89"/>
      <c r="AU119" s="89"/>
      <c r="AV119" s="89"/>
      <c r="AW119" s="89"/>
      <c r="AX119" s="89"/>
      <c r="AY119" s="89"/>
      <c r="AZ119" s="89"/>
      <c r="BA119" s="89"/>
      <c r="BB119" s="89"/>
      <c r="BC119" s="89"/>
      <c r="BD119" s="89"/>
      <c r="BE119" s="89"/>
      <c r="BF119" s="89"/>
      <c r="BG119" s="89"/>
      <c r="BH119" s="89"/>
      <c r="BI119" s="89"/>
      <c r="BJ119" s="89"/>
      <c r="BK119" s="89"/>
      <c r="BL119" s="89"/>
      <c r="BM119" s="89"/>
      <c r="BN119" s="89"/>
      <c r="BO119" s="89"/>
      <c r="BP119" s="89"/>
      <c r="BQ119" s="89"/>
      <c r="BR119" s="89"/>
      <c r="BS119" s="89"/>
      <c r="BT119" s="89"/>
      <c r="BU119" s="89"/>
      <c r="BV119" s="89"/>
      <c r="BW119" s="89"/>
      <c r="BX119" s="89"/>
      <c r="BY119" s="89"/>
      <c r="BZ119" s="89"/>
      <c r="CA119" s="89"/>
      <c r="CB119" s="89"/>
      <c r="CC119" s="89"/>
      <c r="CD119" s="89"/>
      <c r="CE119" s="89"/>
      <c r="CF119" s="89"/>
      <c r="CG119" s="89"/>
      <c r="CH119" s="89"/>
      <c r="CI119" s="89"/>
      <c r="CJ119" s="89"/>
      <c r="CK119" s="89"/>
      <c r="CL119" s="89"/>
      <c r="CM119" s="89"/>
      <c r="CN119" s="89"/>
      <c r="CO119" s="89"/>
      <c r="CP119" s="89"/>
      <c r="CQ119" s="89"/>
      <c r="CR119" s="89"/>
      <c r="CS119" s="89"/>
      <c r="CT119" s="89"/>
      <c r="CU119" s="89"/>
      <c r="CV119" s="89"/>
      <c r="CW119" s="89"/>
      <c r="CX119" s="89"/>
      <c r="CY119" s="89"/>
      <c r="CZ119" s="89"/>
      <c r="DA119" s="89"/>
      <c r="DB119" s="89"/>
      <c r="DC119" s="89"/>
      <c r="DD119" s="89"/>
      <c r="DE119" s="89"/>
      <c r="DF119" s="89"/>
      <c r="DG119" s="89"/>
      <c r="DH119" s="89"/>
      <c r="DI119" s="89"/>
      <c r="DJ119" s="89"/>
      <c r="DK119" s="89"/>
      <c r="DL119" s="89"/>
      <c r="DM119" s="89"/>
      <c r="DN119" s="89"/>
      <c r="DO119" s="89"/>
      <c r="DP119" s="89"/>
      <c r="DQ119" s="89"/>
      <c r="DR119" s="89"/>
      <c r="DS119" s="89"/>
      <c r="DT119" s="89"/>
      <c r="DU119" s="89"/>
      <c r="DV119" s="89"/>
      <c r="DW119" s="89"/>
      <c r="DX119" s="89"/>
      <c r="DY119" s="89"/>
      <c r="DZ119" s="89"/>
      <c r="EA119" s="89"/>
      <c r="EB119" s="89"/>
      <c r="EC119" s="89"/>
      <c r="ED119" s="89"/>
      <c r="EE119" s="89"/>
      <c r="EF119" s="89"/>
      <c r="EG119" s="89"/>
      <c r="EH119" s="89"/>
      <c r="EI119" s="89"/>
      <c r="EJ119" s="89"/>
      <c r="EK119" s="89"/>
      <c r="EL119" s="89"/>
      <c r="EM119" s="89"/>
      <c r="EN119" s="89"/>
      <c r="EO119" s="89"/>
      <c r="EP119" s="89"/>
      <c r="EQ119" s="89"/>
      <c r="ER119" s="89"/>
      <c r="ES119" s="89"/>
      <c r="ET119" s="89"/>
      <c r="EU119" s="89"/>
      <c r="EV119" s="89"/>
      <c r="EW119" s="89"/>
      <c r="EX119" s="89"/>
      <c r="EY119" s="89"/>
      <c r="EZ119" s="89"/>
      <c r="FA119" s="89"/>
      <c r="FB119" s="89"/>
      <c r="FC119" s="89"/>
      <c r="FD119" s="89"/>
      <c r="FE119" s="89"/>
      <c r="FF119" s="89"/>
      <c r="FG119" s="89"/>
      <c r="FH119" s="89"/>
      <c r="FI119" s="89"/>
      <c r="FJ119" s="89"/>
      <c r="FK119" s="89"/>
      <c r="FL119" s="89"/>
      <c r="FM119" s="89"/>
      <c r="FN119" s="89"/>
      <c r="FO119" s="89"/>
      <c r="FP119" s="89"/>
      <c r="FQ119" s="89"/>
      <c r="FR119" s="89"/>
      <c r="FS119" s="89"/>
      <c r="FT119" s="89"/>
      <c r="FU119" s="89"/>
      <c r="FV119" s="89"/>
      <c r="FW119" s="89"/>
      <c r="FX119" s="89"/>
      <c r="FY119" s="89"/>
      <c r="FZ119" s="89"/>
      <c r="GA119" s="89"/>
      <c r="GB119" s="89"/>
      <c r="GC119" s="89"/>
      <c r="GD119" s="89"/>
      <c r="GE119" s="89"/>
      <c r="GF119" s="89"/>
      <c r="GG119" s="89"/>
      <c r="GH119" s="89"/>
      <c r="GI119" s="89"/>
      <c r="GJ119" s="89"/>
      <c r="GK119" s="89"/>
      <c r="GL119" s="89"/>
      <c r="GM119" s="89"/>
      <c r="GN119" s="89"/>
      <c r="GO119" s="89"/>
      <c r="GP119" s="89"/>
      <c r="GQ119" s="89"/>
      <c r="GR119" s="89"/>
      <c r="GS119" s="89"/>
      <c r="GT119" s="89"/>
      <c r="GU119" s="89"/>
      <c r="GV119" s="89"/>
      <c r="GW119" s="89"/>
      <c r="GX119" s="89"/>
      <c r="GY119" s="89"/>
      <c r="GZ119" s="89"/>
      <c r="HA119" s="89"/>
      <c r="HB119" s="89"/>
      <c r="HC119" s="89"/>
      <c r="HD119" s="89"/>
      <c r="HE119" s="89"/>
      <c r="HF119" s="89"/>
      <c r="HG119" s="89"/>
      <c r="HH119" s="89"/>
      <c r="HI119" s="89"/>
      <c r="HJ119" s="89"/>
      <c r="HK119" s="89"/>
      <c r="HL119" s="89"/>
      <c r="HM119" s="89"/>
      <c r="HN119" s="89"/>
      <c r="HO119" s="89"/>
      <c r="HP119" s="89"/>
      <c r="HQ119" s="89"/>
      <c r="HR119" s="89"/>
      <c r="HS119" s="89"/>
      <c r="HT119" s="89"/>
      <c r="HU119" s="89"/>
      <c r="HV119" s="89"/>
      <c r="HW119" s="89"/>
      <c r="HX119" s="89"/>
      <c r="HY119" s="89"/>
      <c r="HZ119" s="89"/>
      <c r="IA119" s="89"/>
      <c r="IB119" s="89"/>
      <c r="IC119" s="89"/>
      <c r="ID119" s="89"/>
      <c r="IE119" s="89"/>
      <c r="IF119" s="89"/>
      <c r="IG119" s="89"/>
      <c r="IH119" s="89"/>
      <c r="II119" s="89"/>
      <c r="IJ119" s="89"/>
      <c r="IK119" s="89"/>
      <c r="IL119" s="89"/>
      <c r="IM119" s="89"/>
      <c r="IN119" s="89"/>
      <c r="IO119" s="89"/>
      <c r="IP119" s="89"/>
      <c r="IQ119" s="89"/>
      <c r="IR119" s="89"/>
      <c r="IS119" s="89"/>
      <c r="IT119" s="89"/>
      <c r="IU119" s="89"/>
      <c r="IV119" s="89"/>
      <c r="IW119" s="89"/>
      <c r="IX119" s="89"/>
      <c r="IY119" s="89"/>
      <c r="IZ119" s="89"/>
      <c r="JA119" s="89"/>
      <c r="JB119" s="89"/>
      <c r="JC119" s="89"/>
      <c r="JD119" s="89"/>
      <c r="JE119" s="89"/>
      <c r="JF119" s="89"/>
      <c r="JG119" s="89"/>
      <c r="JH119" s="89"/>
      <c r="JI119" s="89"/>
      <c r="JJ119" s="89"/>
      <c r="JK119" s="89"/>
      <c r="JL119" s="89"/>
      <c r="JM119" s="89"/>
      <c r="JN119" s="89"/>
      <c r="JO119" s="89"/>
      <c r="JP119" s="89"/>
      <c r="JQ119" s="89"/>
      <c r="JR119" s="89"/>
      <c r="JS119" s="89"/>
      <c r="JT119" s="89"/>
      <c r="JU119" s="89"/>
      <c r="JV119" s="89"/>
      <c r="JW119" s="89"/>
      <c r="JX119" s="89"/>
      <c r="JY119" s="89"/>
      <c r="JZ119" s="89"/>
      <c r="KA119" s="89"/>
      <c r="KB119" s="89"/>
      <c r="KC119" s="89"/>
      <c r="KD119" s="89"/>
      <c r="KE119" s="89"/>
      <c r="KF119" s="89"/>
      <c r="KG119" s="89"/>
      <c r="KH119" s="89"/>
      <c r="KI119" s="89"/>
      <c r="KJ119" s="89"/>
      <c r="KK119" s="89"/>
      <c r="KL119" s="89"/>
      <c r="KM119" s="89"/>
      <c r="KN119" s="89"/>
      <c r="KO119" s="89"/>
      <c r="KP119" s="89"/>
      <c r="KQ119" s="89"/>
      <c r="KR119" s="89"/>
      <c r="KS119" s="89"/>
      <c r="KT119" s="89"/>
      <c r="KU119" s="89"/>
      <c r="KV119" s="89"/>
      <c r="KW119" s="89"/>
      <c r="KX119" s="89"/>
      <c r="KY119" s="89"/>
      <c r="KZ119" s="89"/>
      <c r="LA119" s="89"/>
      <c r="LB119" s="89"/>
      <c r="LC119" s="89"/>
      <c r="LD119" s="89"/>
      <c r="LE119" s="89"/>
      <c r="LF119" s="89"/>
      <c r="LG119" s="89"/>
      <c r="LH119" s="89"/>
      <c r="LI119" s="89"/>
      <c r="LJ119" s="89"/>
      <c r="LK119" s="89"/>
      <c r="LL119" s="89"/>
      <c r="LM119" s="89"/>
      <c r="LN119" s="89"/>
      <c r="LO119" s="89"/>
      <c r="LP119" s="89"/>
      <c r="LQ119" s="89"/>
      <c r="LR119" s="89"/>
      <c r="LS119" s="89"/>
      <c r="LT119" s="89"/>
      <c r="LU119" s="89"/>
      <c r="LV119" s="89"/>
      <c r="LW119" s="89"/>
      <c r="LX119" s="89"/>
      <c r="LY119" s="89"/>
      <c r="LZ119" s="89"/>
      <c r="MA119" s="89"/>
      <c r="MB119" s="89"/>
      <c r="MC119" s="89"/>
      <c r="MD119" s="89"/>
      <c r="ME119" s="89"/>
      <c r="MF119" s="89"/>
      <c r="MG119" s="89"/>
      <c r="MH119" s="89"/>
      <c r="MI119" s="89"/>
      <c r="MJ119" s="89"/>
      <c r="MK119" s="89"/>
      <c r="ML119" s="89"/>
      <c r="MM119" s="89"/>
      <c r="MN119" s="89"/>
      <c r="MO119" s="89"/>
      <c r="MP119" s="89"/>
      <c r="MQ119" s="89"/>
      <c r="MR119" s="89"/>
      <c r="MS119" s="89"/>
      <c r="MT119" s="89"/>
      <c r="MU119" s="89"/>
      <c r="MV119" s="89"/>
      <c r="MW119" s="89"/>
      <c r="MX119" s="89"/>
      <c r="MY119" s="89"/>
      <c r="MZ119" s="89"/>
      <c r="NA119" s="89"/>
      <c r="NB119" s="89"/>
      <c r="NC119" s="89"/>
      <c r="ND119" s="89"/>
      <c r="NE119" s="89"/>
      <c r="NF119" s="89"/>
      <c r="NG119" s="89"/>
      <c r="NH119" s="89"/>
      <c r="NI119" s="89"/>
      <c r="NJ119" s="89"/>
      <c r="NK119" s="89"/>
      <c r="NL119" s="89"/>
      <c r="NM119" s="89"/>
      <c r="NN119" s="89"/>
      <c r="NO119" s="89"/>
      <c r="NP119" s="89"/>
      <c r="NQ119" s="89"/>
      <c r="NR119" s="89"/>
      <c r="NS119" s="89"/>
      <c r="NT119" s="89"/>
      <c r="NU119" s="89"/>
      <c r="NV119" s="89"/>
      <c r="NW119" s="89"/>
      <c r="NX119" s="89"/>
      <c r="NY119" s="89"/>
      <c r="NZ119" s="89"/>
      <c r="OA119" s="89"/>
      <c r="OB119" s="89"/>
      <c r="OC119" s="89"/>
      <c r="OD119" s="89"/>
      <c r="OE119" s="89"/>
      <c r="OF119" s="89"/>
      <c r="OG119" s="89"/>
      <c r="OH119" s="89"/>
      <c r="OI119" s="89"/>
      <c r="OJ119" s="89"/>
      <c r="OK119" s="89"/>
      <c r="OL119" s="89"/>
      <c r="OM119" s="89"/>
      <c r="ON119" s="89"/>
      <c r="OO119" s="89"/>
      <c r="OP119" s="89"/>
      <c r="OQ119" s="89"/>
      <c r="OR119" s="89"/>
      <c r="OS119" s="89"/>
      <c r="OT119" s="89"/>
      <c r="OU119" s="89"/>
      <c r="OV119" s="89"/>
      <c r="OW119" s="89"/>
      <c r="OX119" s="89"/>
      <c r="OY119" s="89"/>
      <c r="OZ119" s="89"/>
      <c r="PA119" s="89"/>
      <c r="PB119" s="89"/>
      <c r="PC119" s="89"/>
      <c r="PD119" s="89"/>
      <c r="PE119" s="89"/>
      <c r="PF119" s="89"/>
      <c r="PG119" s="89"/>
      <c r="PH119" s="89"/>
      <c r="PI119" s="89"/>
      <c r="PJ119" s="89"/>
      <c r="PK119" s="89"/>
      <c r="PL119" s="89"/>
      <c r="PM119" s="89"/>
      <c r="PN119" s="89"/>
      <c r="PO119" s="89"/>
      <c r="PP119" s="89"/>
      <c r="PQ119" s="89"/>
      <c r="PR119" s="89"/>
      <c r="PS119" s="89"/>
      <c r="PT119" s="89"/>
      <c r="PU119" s="89"/>
      <c r="PV119" s="89"/>
      <c r="PW119" s="89"/>
      <c r="PX119" s="89"/>
      <c r="PY119" s="89"/>
      <c r="PZ119" s="89"/>
      <c r="QA119" s="89"/>
      <c r="QB119" s="89"/>
      <c r="QC119" s="89"/>
      <c r="QD119" s="89"/>
      <c r="QE119" s="89"/>
      <c r="QF119" s="89"/>
      <c r="QG119" s="89"/>
      <c r="QH119" s="89"/>
      <c r="QI119" s="89"/>
      <c r="QJ119" s="89"/>
      <c r="QK119" s="89"/>
      <c r="QL119" s="89"/>
      <c r="QM119" s="89"/>
      <c r="QN119" s="89"/>
      <c r="QO119" s="89"/>
      <c r="QP119" s="89"/>
      <c r="QQ119" s="89"/>
      <c r="QR119" s="89"/>
      <c r="QS119" s="89"/>
      <c r="QT119" s="89"/>
      <c r="QU119" s="89"/>
      <c r="QV119" s="89"/>
      <c r="QW119" s="89"/>
      <c r="QX119" s="89"/>
      <c r="QY119" s="89"/>
      <c r="QZ119" s="89"/>
      <c r="RA119" s="89"/>
      <c r="RB119" s="89"/>
      <c r="RC119" s="89"/>
      <c r="RD119" s="89"/>
      <c r="RE119" s="89"/>
      <c r="RF119" s="89"/>
      <c r="RG119" s="89"/>
      <c r="RH119" s="89"/>
      <c r="RI119" s="89"/>
      <c r="RJ119" s="89"/>
      <c r="RK119" s="89"/>
      <c r="RL119" s="89"/>
      <c r="RM119" s="89"/>
      <c r="RN119" s="89"/>
      <c r="RO119" s="89"/>
      <c r="RP119" s="89"/>
      <c r="RQ119" s="89"/>
      <c r="RR119" s="89"/>
      <c r="RS119" s="89"/>
      <c r="RT119" s="89"/>
      <c r="RU119" s="89"/>
      <c r="RV119" s="89"/>
      <c r="RW119" s="89"/>
      <c r="RX119" s="89"/>
      <c r="RY119" s="89"/>
      <c r="RZ119" s="89"/>
      <c r="SA119" s="89"/>
      <c r="SB119" s="89"/>
      <c r="SC119" s="89"/>
      <c r="SD119" s="89"/>
      <c r="SE119" s="89"/>
      <c r="SF119" s="89"/>
      <c r="SG119" s="89"/>
      <c r="SH119" s="89"/>
      <c r="SI119" s="89"/>
      <c r="SJ119" s="89"/>
      <c r="SK119" s="89"/>
      <c r="SL119" s="89"/>
      <c r="SM119" s="89"/>
      <c r="SN119" s="89"/>
      <c r="SO119" s="89"/>
      <c r="SP119" s="89"/>
      <c r="SQ119" s="89"/>
      <c r="SR119" s="89"/>
      <c r="SS119" s="89"/>
      <c r="ST119" s="89"/>
      <c r="SU119" s="89"/>
      <c r="SV119" s="89"/>
      <c r="SW119" s="89"/>
      <c r="SX119" s="89"/>
      <c r="SY119" s="89"/>
      <c r="SZ119" s="89"/>
      <c r="TA119" s="89"/>
      <c r="TB119" s="89"/>
      <c r="TC119" s="89"/>
      <c r="TD119" s="89"/>
      <c r="TE119" s="89"/>
      <c r="TF119" s="89"/>
      <c r="TG119" s="89"/>
      <c r="TH119" s="89"/>
      <c r="TI119" s="89"/>
      <c r="TJ119" s="89"/>
      <c r="TK119" s="89"/>
      <c r="TL119" s="89"/>
      <c r="TM119" s="89"/>
      <c r="TN119" s="89"/>
      <c r="TO119" s="89"/>
      <c r="TP119" s="89"/>
      <c r="TQ119" s="89"/>
      <c r="TR119" s="89"/>
      <c r="TS119" s="89"/>
      <c r="TT119" s="89"/>
      <c r="TU119" s="89"/>
      <c r="TV119" s="89"/>
      <c r="TW119" s="89"/>
      <c r="TX119" s="89"/>
      <c r="TY119" s="89"/>
      <c r="TZ119" s="89"/>
      <c r="UA119" s="89"/>
      <c r="UB119" s="89"/>
      <c r="UC119" s="89"/>
      <c r="UD119" s="89"/>
      <c r="UE119" s="89"/>
      <c r="UF119" s="89"/>
      <c r="UG119" s="89"/>
      <c r="UH119" s="89"/>
      <c r="UI119" s="89"/>
      <c r="UJ119" s="89"/>
      <c r="UK119" s="89"/>
      <c r="UL119" s="89"/>
      <c r="UM119" s="89"/>
      <c r="UN119" s="89"/>
      <c r="UO119" s="89"/>
      <c r="UP119" s="89"/>
      <c r="UQ119" s="89"/>
      <c r="UR119" s="89"/>
      <c r="US119" s="89"/>
      <c r="UT119" s="89"/>
      <c r="UU119" s="89"/>
      <c r="UV119" s="89"/>
      <c r="UW119" s="89"/>
      <c r="UX119" s="89"/>
      <c r="UY119" s="89"/>
      <c r="UZ119" s="89"/>
      <c r="VA119" s="89"/>
      <c r="VB119" s="89"/>
      <c r="VC119" s="89"/>
      <c r="VD119" s="89"/>
      <c r="VE119" s="89"/>
      <c r="VF119" s="89"/>
      <c r="VG119" s="89"/>
      <c r="VH119" s="89"/>
      <c r="VI119" s="89"/>
      <c r="VJ119" s="89"/>
      <c r="VK119" s="89"/>
      <c r="VL119" s="89"/>
      <c r="VM119" s="89"/>
      <c r="VN119" s="89"/>
      <c r="VO119" s="89"/>
      <c r="VP119" s="89"/>
      <c r="VQ119" s="89"/>
      <c r="VR119" s="89"/>
      <c r="VS119" s="89"/>
      <c r="VT119" s="89"/>
      <c r="VU119" s="89"/>
      <c r="VV119" s="89"/>
      <c r="VW119" s="89"/>
      <c r="VX119" s="89"/>
      <c r="VY119" s="89"/>
      <c r="VZ119" s="89"/>
      <c r="WA119" s="89"/>
      <c r="WB119" s="89"/>
      <c r="WC119" s="89"/>
      <c r="WD119" s="89"/>
      <c r="WE119" s="89"/>
      <c r="WF119" s="89"/>
      <c r="WG119" s="89"/>
      <c r="WH119" s="89"/>
      <c r="WI119" s="89"/>
      <c r="WJ119" s="89"/>
      <c r="WK119" s="89"/>
      <c r="WL119" s="89"/>
      <c r="WM119" s="89"/>
      <c r="WN119" s="89"/>
      <c r="WO119" s="89"/>
      <c r="WP119" s="89"/>
      <c r="WQ119" s="89"/>
      <c r="WR119" s="89"/>
      <c r="WS119" s="89"/>
      <c r="WT119" s="89"/>
      <c r="WU119" s="89"/>
      <c r="WV119" s="89"/>
      <c r="WW119" s="89"/>
      <c r="WX119" s="89"/>
      <c r="WY119" s="89"/>
      <c r="WZ119" s="89"/>
      <c r="XA119" s="89"/>
      <c r="XB119" s="89"/>
      <c r="XC119" s="89"/>
      <c r="XD119" s="89"/>
      <c r="XE119" s="89"/>
      <c r="XF119" s="89"/>
      <c r="XG119" s="89"/>
      <c r="XH119" s="89"/>
      <c r="XI119" s="89"/>
      <c r="XJ119" s="89"/>
      <c r="XK119" s="89"/>
      <c r="XL119" s="89"/>
      <c r="XM119" s="89"/>
      <c r="XN119" s="89"/>
      <c r="XO119" s="89"/>
      <c r="XP119" s="89"/>
      <c r="XQ119" s="89"/>
      <c r="XR119" s="89"/>
      <c r="XS119" s="89"/>
      <c r="XT119" s="89"/>
      <c r="XU119" s="89"/>
      <c r="XV119" s="89"/>
      <c r="XW119" s="89"/>
      <c r="XX119" s="89"/>
      <c r="XY119" s="89"/>
      <c r="XZ119" s="89"/>
      <c r="YA119" s="89"/>
      <c r="YB119" s="89"/>
      <c r="YC119" s="89"/>
      <c r="YD119" s="89"/>
      <c r="YE119" s="89"/>
      <c r="YF119" s="89"/>
      <c r="YG119" s="89"/>
      <c r="YH119" s="89"/>
      <c r="YI119" s="89"/>
      <c r="YJ119" s="89"/>
      <c r="YK119" s="89"/>
      <c r="YL119" s="89"/>
      <c r="YM119" s="89"/>
      <c r="YN119" s="89"/>
      <c r="YO119" s="89"/>
      <c r="YP119" s="89"/>
      <c r="YQ119" s="89"/>
      <c r="YR119" s="89"/>
      <c r="YS119" s="89"/>
      <c r="YT119" s="89"/>
      <c r="YU119" s="89"/>
      <c r="YV119" s="89"/>
      <c r="YW119" s="89"/>
      <c r="YX119" s="89"/>
      <c r="YY119" s="89"/>
      <c r="YZ119" s="89"/>
      <c r="ZA119" s="89"/>
      <c r="ZB119" s="89"/>
      <c r="ZC119" s="89"/>
      <c r="ZD119" s="89"/>
      <c r="ZE119" s="89"/>
      <c r="ZF119" s="89"/>
      <c r="ZG119" s="89"/>
      <c r="ZH119" s="89"/>
      <c r="ZI119" s="89"/>
      <c r="ZJ119" s="89"/>
      <c r="ZK119" s="89"/>
      <c r="ZL119" s="89"/>
      <c r="ZM119" s="89"/>
      <c r="ZN119" s="89"/>
      <c r="ZO119" s="89"/>
      <c r="ZP119" s="89"/>
      <c r="ZQ119" s="89"/>
      <c r="ZR119" s="89"/>
      <c r="ZS119" s="89"/>
      <c r="ZT119" s="89"/>
      <c r="ZU119" s="89"/>
      <c r="ZV119" s="89"/>
      <c r="ZW119" s="89"/>
      <c r="ZX119" s="89"/>
      <c r="ZY119" s="89"/>
      <c r="ZZ119" s="89"/>
      <c r="AAA119" s="89"/>
      <c r="AAB119" s="89"/>
      <c r="AAC119" s="89"/>
      <c r="AAD119" s="89"/>
      <c r="AAE119" s="89"/>
      <c r="AAF119" s="89"/>
      <c r="AAG119" s="89"/>
      <c r="AAH119" s="89"/>
      <c r="AAI119" s="89"/>
      <c r="AAJ119" s="89"/>
      <c r="AAK119" s="89"/>
      <c r="AAL119" s="89"/>
      <c r="AAM119" s="89"/>
      <c r="AAN119" s="89"/>
      <c r="AAO119" s="89"/>
      <c r="AAP119" s="89"/>
      <c r="AAQ119" s="89"/>
      <c r="AAR119" s="89"/>
      <c r="AAS119" s="89"/>
      <c r="AAT119" s="89"/>
      <c r="AAU119" s="89"/>
      <c r="AAV119" s="89"/>
      <c r="AAW119" s="89"/>
      <c r="AAX119" s="89"/>
      <c r="AAY119" s="89"/>
      <c r="AAZ119" s="89"/>
      <c r="ABA119" s="89"/>
      <c r="ABB119" s="89"/>
      <c r="ABC119" s="89"/>
      <c r="ABD119" s="89"/>
      <c r="ABE119" s="89"/>
      <c r="ABF119" s="89"/>
      <c r="ABG119" s="89"/>
      <c r="ABH119" s="89"/>
      <c r="ABI119" s="89"/>
      <c r="ABJ119" s="89"/>
      <c r="ABK119" s="89"/>
      <c r="ABL119" s="89"/>
      <c r="ABM119" s="89"/>
      <c r="ABN119" s="89"/>
      <c r="ABO119" s="89"/>
      <c r="ABP119" s="89"/>
      <c r="ABQ119" s="89"/>
      <c r="ABR119" s="89"/>
      <c r="ABS119" s="89"/>
      <c r="ABT119" s="89"/>
      <c r="ABU119" s="89"/>
      <c r="ABV119" s="89"/>
      <c r="ABW119" s="89"/>
      <c r="ABX119" s="89"/>
      <c r="ABY119" s="89"/>
      <c r="ABZ119" s="89"/>
      <c r="ACA119" s="89"/>
      <c r="ACB119" s="89"/>
      <c r="ACC119" s="89"/>
      <c r="ACD119" s="89"/>
      <c r="ACE119" s="89"/>
      <c r="ACF119" s="89"/>
      <c r="ACG119" s="89"/>
      <c r="ACH119" s="89"/>
      <c r="ACI119" s="89"/>
      <c r="ACJ119" s="89"/>
      <c r="ACK119" s="89"/>
      <c r="ACL119" s="89"/>
      <c r="ACM119" s="89"/>
      <c r="ACN119" s="89"/>
      <c r="ACO119" s="89"/>
      <c r="ACP119" s="89"/>
      <c r="ACQ119" s="89"/>
      <c r="ACR119" s="89"/>
      <c r="ACS119" s="89"/>
      <c r="ACT119" s="89"/>
      <c r="ACU119" s="89"/>
      <c r="ACV119" s="89"/>
      <c r="ACW119" s="89"/>
      <c r="ACX119" s="89"/>
      <c r="ACY119" s="89"/>
      <c r="ACZ119" s="89"/>
      <c r="ADA119" s="89"/>
      <c r="ADB119" s="89"/>
      <c r="ADC119" s="89"/>
      <c r="ADD119" s="89"/>
      <c r="ADE119" s="89"/>
      <c r="ADF119" s="89"/>
      <c r="ADG119" s="89"/>
      <c r="ADH119" s="89"/>
      <c r="ADI119" s="89"/>
      <c r="ADJ119" s="89"/>
      <c r="ADK119" s="89"/>
      <c r="ADL119" s="89"/>
      <c r="ADM119" s="89"/>
      <c r="ADN119" s="89"/>
      <c r="ADO119" s="89"/>
      <c r="ADP119" s="89"/>
      <c r="ADQ119" s="89"/>
      <c r="ADR119" s="89"/>
      <c r="ADS119" s="89"/>
      <c r="ADT119" s="89"/>
      <c r="ADU119" s="89"/>
      <c r="ADV119" s="89"/>
      <c r="ADW119" s="89"/>
      <c r="ADX119" s="89"/>
      <c r="ADY119" s="89"/>
      <c r="ADZ119" s="89"/>
      <c r="AEA119" s="89"/>
      <c r="AEB119" s="89"/>
      <c r="AEC119" s="89"/>
      <c r="AED119" s="89"/>
      <c r="AEE119" s="89"/>
      <c r="AEF119" s="89"/>
      <c r="AEG119" s="89"/>
      <c r="AEH119" s="89"/>
      <c r="AEI119" s="89"/>
      <c r="AEJ119" s="89"/>
      <c r="AEK119" s="89"/>
      <c r="AEL119" s="89"/>
      <c r="AEM119" s="89"/>
      <c r="AEN119" s="89"/>
      <c r="AEO119" s="89"/>
      <c r="AEP119" s="89"/>
      <c r="AEQ119" s="89"/>
      <c r="AER119" s="89"/>
      <c r="AES119" s="89"/>
      <c r="AET119" s="89"/>
      <c r="AEU119" s="89"/>
      <c r="AEV119" s="89"/>
      <c r="AEW119" s="89"/>
      <c r="AEX119" s="89"/>
      <c r="AEY119" s="89"/>
      <c r="AEZ119" s="89"/>
      <c r="AFA119" s="89"/>
      <c r="AFB119" s="89"/>
      <c r="AFC119" s="89"/>
      <c r="AFD119" s="89"/>
      <c r="AFE119" s="89"/>
      <c r="AFF119" s="89"/>
      <c r="AFG119" s="89"/>
      <c r="AFH119" s="89"/>
      <c r="AFI119" s="89"/>
      <c r="AFJ119" s="89"/>
      <c r="AFK119" s="89"/>
      <c r="AFL119" s="89"/>
      <c r="AFM119" s="89"/>
      <c r="AFN119" s="89"/>
      <c r="AFO119" s="89"/>
      <c r="AFP119" s="89"/>
      <c r="AFQ119" s="89"/>
      <c r="AFR119" s="89"/>
      <c r="AFS119" s="89"/>
      <c r="AFT119" s="89"/>
      <c r="AFU119" s="89"/>
      <c r="AFV119" s="89"/>
      <c r="AFW119" s="89"/>
      <c r="AFX119" s="89"/>
      <c r="AFY119" s="89"/>
      <c r="AFZ119" s="89"/>
      <c r="AGA119" s="89"/>
      <c r="AGB119" s="89"/>
      <c r="AGC119" s="89"/>
      <c r="AGD119" s="89"/>
      <c r="AGE119" s="89"/>
      <c r="AGF119" s="89"/>
      <c r="AGG119" s="89"/>
      <c r="AGH119" s="89"/>
      <c r="AGI119" s="89"/>
      <c r="AGJ119" s="89"/>
      <c r="AGK119" s="89"/>
      <c r="AGL119" s="89"/>
      <c r="AGM119" s="89"/>
      <c r="AGN119" s="89"/>
      <c r="AGO119" s="89"/>
      <c r="AGP119" s="89"/>
      <c r="AGQ119" s="89"/>
      <c r="AGR119" s="89"/>
      <c r="AGS119" s="89"/>
      <c r="AGT119" s="89"/>
      <c r="AGU119" s="89"/>
      <c r="AGV119" s="89"/>
      <c r="AGW119" s="89"/>
      <c r="AGX119" s="89"/>
      <c r="AGY119" s="89"/>
      <c r="AGZ119" s="89"/>
      <c r="AHA119" s="89"/>
      <c r="AHB119" s="89"/>
      <c r="AHC119" s="89"/>
      <c r="AHD119" s="89"/>
      <c r="AHE119" s="89"/>
      <c r="AHF119" s="89"/>
      <c r="AHG119" s="89"/>
      <c r="AHH119" s="89"/>
      <c r="AHI119" s="89"/>
      <c r="AHJ119" s="89"/>
      <c r="AHK119" s="89"/>
      <c r="AHL119" s="89"/>
      <c r="AHM119" s="89"/>
      <c r="AHN119" s="89"/>
      <c r="AHO119" s="89"/>
      <c r="AHP119" s="89"/>
      <c r="AHQ119" s="89"/>
      <c r="AHR119" s="89"/>
      <c r="AHS119" s="89"/>
      <c r="AHT119" s="89"/>
      <c r="AHU119" s="89"/>
      <c r="AHV119" s="89"/>
      <c r="AHW119" s="89"/>
      <c r="AHX119" s="89"/>
      <c r="AHY119" s="89"/>
      <c r="AHZ119" s="89"/>
      <c r="AIA119" s="89"/>
      <c r="AIB119" s="89"/>
      <c r="AIC119" s="89"/>
      <c r="AID119" s="89"/>
      <c r="AIE119" s="89"/>
      <c r="AIF119" s="89"/>
      <c r="AIG119" s="89"/>
      <c r="AIH119" s="89"/>
      <c r="AII119" s="89"/>
      <c r="AIJ119" s="89"/>
      <c r="AIK119" s="89"/>
      <c r="AIL119" s="89"/>
      <c r="AIM119" s="89"/>
      <c r="AIN119" s="89"/>
      <c r="AIO119" s="89"/>
      <c r="AIP119" s="89"/>
      <c r="AIQ119" s="89"/>
      <c r="AIR119" s="89"/>
      <c r="AIS119" s="89"/>
      <c r="AIT119" s="89"/>
      <c r="AIU119" s="89"/>
      <c r="AIV119" s="89"/>
      <c r="AIW119" s="89"/>
      <c r="AIX119" s="89"/>
      <c r="AIY119" s="89"/>
      <c r="AIZ119" s="89"/>
      <c r="AJA119" s="89"/>
      <c r="AJB119" s="89"/>
      <c r="AJC119" s="89"/>
      <c r="AJD119" s="89"/>
      <c r="AJE119" s="89"/>
      <c r="AJF119" s="89"/>
      <c r="AJG119" s="89"/>
      <c r="AJH119" s="89"/>
      <c r="AJI119" s="89"/>
      <c r="AJJ119" s="89"/>
      <c r="AJK119" s="89"/>
      <c r="AJL119" s="89"/>
      <c r="AJM119" s="89"/>
      <c r="AJN119" s="89"/>
      <c r="AJO119" s="89"/>
      <c r="AJP119" s="89"/>
      <c r="AJQ119" s="89"/>
      <c r="AJR119" s="89"/>
      <c r="AJS119" s="89"/>
      <c r="AJT119" s="89"/>
      <c r="AJU119" s="89"/>
      <c r="AJV119" s="89"/>
      <c r="AJW119" s="89"/>
      <c r="AJX119" s="89"/>
      <c r="AJY119" s="89"/>
      <c r="AJZ119" s="89"/>
      <c r="AKA119" s="89"/>
      <c r="AKB119" s="89"/>
      <c r="AKC119" s="89"/>
      <c r="AKD119" s="89"/>
      <c r="AKE119" s="89"/>
      <c r="AKF119" s="89"/>
      <c r="AKG119" s="89"/>
      <c r="AKH119" s="89"/>
      <c r="AKI119" s="89"/>
      <c r="AKJ119" s="89"/>
      <c r="AKK119" s="89"/>
      <c r="AKL119" s="89"/>
      <c r="AKM119" s="89"/>
      <c r="AKN119" s="89"/>
      <c r="AKO119" s="89"/>
      <c r="AKP119" s="89"/>
      <c r="AKQ119" s="89"/>
      <c r="AKR119" s="89"/>
      <c r="AKS119" s="89"/>
      <c r="AKT119" s="89"/>
      <c r="AKU119" s="89"/>
      <c r="AKV119" s="89"/>
      <c r="AKW119" s="89"/>
      <c r="AKX119" s="89"/>
      <c r="AKY119" s="89"/>
      <c r="AKZ119" s="89"/>
      <c r="ALA119" s="89"/>
      <c r="ALB119" s="89"/>
      <c r="ALC119" s="89"/>
      <c r="ALD119" s="89"/>
      <c r="ALE119" s="89"/>
      <c r="ALF119" s="89"/>
      <c r="ALG119" s="89"/>
      <c r="ALH119" s="89"/>
      <c r="ALI119" s="89"/>
      <c r="ALJ119" s="89"/>
      <c r="ALK119" s="89"/>
      <c r="ALL119" s="89"/>
      <c r="ALM119" s="89"/>
      <c r="ALN119" s="89"/>
      <c r="ALO119" s="89"/>
      <c r="ALP119" s="89"/>
      <c r="ALQ119" s="89"/>
      <c r="ALR119" s="89"/>
      <c r="ALS119" s="89"/>
      <c r="ALT119" s="89"/>
      <c r="ALU119" s="89"/>
      <c r="ALV119" s="89"/>
      <c r="ALW119" s="89"/>
      <c r="ALX119" s="89"/>
      <c r="ALY119" s="89"/>
      <c r="ALZ119" s="89"/>
      <c r="AMA119" s="89"/>
      <c r="AMB119" s="89"/>
      <c r="AMC119" s="89"/>
      <c r="AMD119" s="89"/>
      <c r="AME119" s="89"/>
      <c r="AMF119" s="89"/>
      <c r="AMG119" s="89"/>
      <c r="AMH119" s="89"/>
      <c r="AMI119" s="89"/>
      <c r="AMJ119" s="89"/>
      <c r="AMK119" s="89"/>
      <c r="AML119" s="89"/>
      <c r="AMM119" s="89"/>
      <c r="AMN119" s="89"/>
      <c r="AMO119" s="89"/>
      <c r="AMP119" s="89"/>
      <c r="AMQ119" s="89"/>
      <c r="AMR119" s="89"/>
      <c r="AMS119" s="89"/>
      <c r="AMT119" s="89"/>
      <c r="AMU119" s="89"/>
      <c r="AMV119" s="89"/>
      <c r="AMW119" s="89"/>
      <c r="AMX119" s="89"/>
    </row>
    <row r="120" spans="1:1038" s="7" customFormat="1" ht="27.4" customHeight="1" x14ac:dyDescent="0.2">
      <c r="A120" s="94"/>
      <c r="B120" s="56" t="s">
        <v>334</v>
      </c>
      <c r="C120" s="56"/>
      <c r="D120" s="56"/>
      <c r="E120" s="56"/>
      <c r="F120" s="56"/>
      <c r="G120" s="76"/>
      <c r="H120" s="77"/>
      <c r="I120" s="56"/>
      <c r="J120" s="57"/>
      <c r="K120" s="193"/>
      <c r="L120" s="181"/>
      <c r="M120" s="181"/>
      <c r="N120" s="206"/>
      <c r="O120" s="57"/>
      <c r="P120" s="57"/>
      <c r="Q120" s="57"/>
      <c r="R120" s="57"/>
      <c r="S120" s="57"/>
      <c r="T120" s="57"/>
      <c r="U120" s="57"/>
      <c r="V120" s="90"/>
      <c r="W120" s="90"/>
      <c r="X120" s="90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  <c r="AI120" s="90"/>
      <c r="AJ120" s="90"/>
      <c r="AK120" s="90"/>
      <c r="AL120" s="90"/>
      <c r="AM120" s="90"/>
      <c r="AN120" s="90"/>
      <c r="AO120" s="90"/>
      <c r="AP120" s="90"/>
      <c r="AQ120" s="90"/>
      <c r="AR120" s="90"/>
      <c r="AS120" s="90"/>
      <c r="AT120" s="90"/>
      <c r="AU120" s="90"/>
      <c r="AV120" s="90"/>
      <c r="AW120" s="90"/>
      <c r="AX120" s="90"/>
      <c r="AY120" s="90"/>
      <c r="AZ120" s="90"/>
      <c r="BA120" s="90"/>
      <c r="BB120" s="90"/>
      <c r="BC120" s="90"/>
      <c r="BD120" s="90"/>
      <c r="BE120" s="90"/>
      <c r="BF120" s="90"/>
      <c r="BG120" s="90"/>
      <c r="BH120" s="90"/>
      <c r="BI120" s="90"/>
      <c r="BJ120" s="90"/>
      <c r="BK120" s="90"/>
      <c r="BL120" s="90"/>
      <c r="BM120" s="90"/>
      <c r="BN120" s="90"/>
      <c r="BO120" s="90"/>
      <c r="BP120" s="90"/>
      <c r="BQ120" s="90"/>
      <c r="BR120" s="90"/>
      <c r="BS120" s="90"/>
      <c r="BT120" s="90"/>
      <c r="BU120" s="90"/>
      <c r="BV120" s="90"/>
      <c r="BW120" s="90"/>
      <c r="BX120" s="90"/>
      <c r="BY120" s="90"/>
      <c r="BZ120" s="90"/>
      <c r="CA120" s="90"/>
      <c r="CB120" s="90"/>
      <c r="CC120" s="90"/>
      <c r="CD120" s="90"/>
      <c r="CE120" s="90"/>
      <c r="CF120" s="90"/>
      <c r="CG120" s="90"/>
      <c r="CH120" s="90"/>
      <c r="CI120" s="90"/>
      <c r="CJ120" s="90"/>
      <c r="CK120" s="90"/>
      <c r="CL120" s="90"/>
      <c r="CM120" s="90"/>
      <c r="CN120" s="90"/>
      <c r="CO120" s="90"/>
      <c r="CP120" s="90"/>
      <c r="CQ120" s="90"/>
      <c r="CR120" s="90"/>
      <c r="CS120" s="90"/>
      <c r="CT120" s="90"/>
      <c r="CU120" s="90"/>
      <c r="CV120" s="90"/>
      <c r="CW120" s="90"/>
      <c r="CX120" s="90"/>
      <c r="CY120" s="90"/>
      <c r="CZ120" s="90"/>
      <c r="DA120" s="90"/>
      <c r="DB120" s="90"/>
      <c r="DC120" s="90"/>
      <c r="DD120" s="90"/>
      <c r="DE120" s="90"/>
      <c r="DF120" s="90"/>
      <c r="DG120" s="90"/>
      <c r="DH120" s="90"/>
      <c r="DI120" s="90"/>
      <c r="DJ120" s="90"/>
      <c r="DK120" s="90"/>
      <c r="DL120" s="90"/>
      <c r="DM120" s="90"/>
      <c r="DN120" s="90"/>
      <c r="DO120" s="90"/>
      <c r="DP120" s="90"/>
      <c r="DQ120" s="90"/>
      <c r="DR120" s="90"/>
      <c r="DS120" s="90"/>
      <c r="DT120" s="90"/>
      <c r="DU120" s="90"/>
      <c r="DV120" s="90"/>
      <c r="DW120" s="90"/>
      <c r="DX120" s="90"/>
      <c r="DY120" s="90"/>
      <c r="DZ120" s="90"/>
      <c r="EA120" s="90"/>
      <c r="EB120" s="90"/>
      <c r="EC120" s="90"/>
      <c r="ED120" s="90"/>
      <c r="EE120" s="90"/>
      <c r="EF120" s="90"/>
      <c r="EG120" s="90"/>
      <c r="EH120" s="90"/>
      <c r="EI120" s="90"/>
      <c r="EJ120" s="90"/>
      <c r="EK120" s="90"/>
      <c r="EL120" s="90"/>
      <c r="EM120" s="90"/>
      <c r="EN120" s="90"/>
      <c r="EO120" s="90"/>
      <c r="EP120" s="90"/>
      <c r="EQ120" s="90"/>
      <c r="ER120" s="90"/>
      <c r="ES120" s="90"/>
      <c r="ET120" s="90"/>
      <c r="EU120" s="90"/>
      <c r="EV120" s="90"/>
      <c r="EW120" s="90"/>
      <c r="EX120" s="90"/>
      <c r="EY120" s="90"/>
      <c r="EZ120" s="90"/>
      <c r="FA120" s="90"/>
      <c r="FB120" s="90"/>
      <c r="FC120" s="90"/>
      <c r="FD120" s="90"/>
      <c r="FE120" s="90"/>
      <c r="FF120" s="90"/>
      <c r="FG120" s="90"/>
      <c r="FH120" s="90"/>
      <c r="FI120" s="90"/>
      <c r="FJ120" s="90"/>
      <c r="FK120" s="90"/>
      <c r="FL120" s="90"/>
      <c r="FM120" s="90"/>
      <c r="FN120" s="90"/>
      <c r="FO120" s="90"/>
      <c r="FP120" s="90"/>
      <c r="FQ120" s="90"/>
      <c r="FR120" s="90"/>
      <c r="FS120" s="90"/>
      <c r="FT120" s="90"/>
      <c r="FU120" s="90"/>
      <c r="FV120" s="90"/>
      <c r="FW120" s="90"/>
      <c r="FX120" s="90"/>
      <c r="FY120" s="90"/>
      <c r="FZ120" s="90"/>
      <c r="GA120" s="90"/>
      <c r="GB120" s="90"/>
      <c r="GC120" s="90"/>
      <c r="GD120" s="90"/>
      <c r="GE120" s="90"/>
      <c r="GF120" s="90"/>
      <c r="GG120" s="90"/>
      <c r="GH120" s="90"/>
      <c r="GI120" s="90"/>
      <c r="GJ120" s="90"/>
      <c r="GK120" s="90"/>
      <c r="GL120" s="90"/>
      <c r="GM120" s="90"/>
      <c r="GN120" s="90"/>
      <c r="GO120" s="90"/>
      <c r="GP120" s="90"/>
      <c r="GQ120" s="90"/>
      <c r="GR120" s="90"/>
      <c r="GS120" s="90"/>
      <c r="GT120" s="90"/>
      <c r="GU120" s="90"/>
      <c r="GV120" s="90"/>
      <c r="GW120" s="90"/>
      <c r="GX120" s="90"/>
      <c r="GY120" s="90"/>
      <c r="GZ120" s="90"/>
      <c r="HA120" s="90"/>
      <c r="HB120" s="90"/>
      <c r="HC120" s="90"/>
      <c r="HD120" s="90"/>
      <c r="HE120" s="90"/>
      <c r="HF120" s="90"/>
      <c r="HG120" s="90"/>
      <c r="HH120" s="90"/>
      <c r="HI120" s="90"/>
      <c r="HJ120" s="90"/>
      <c r="HK120" s="90"/>
      <c r="HL120" s="90"/>
      <c r="HM120" s="90"/>
      <c r="HN120" s="90"/>
      <c r="HO120" s="90"/>
      <c r="HP120" s="90"/>
      <c r="HQ120" s="90"/>
      <c r="HR120" s="90"/>
      <c r="HS120" s="90"/>
      <c r="HT120" s="90"/>
      <c r="HU120" s="90"/>
      <c r="HV120" s="90"/>
      <c r="HW120" s="90"/>
      <c r="HX120" s="90"/>
      <c r="HY120" s="90"/>
      <c r="HZ120" s="90"/>
      <c r="IA120" s="90"/>
      <c r="IB120" s="90"/>
      <c r="IC120" s="90"/>
      <c r="ID120" s="90"/>
      <c r="IE120" s="90"/>
      <c r="IF120" s="90"/>
      <c r="IG120" s="90"/>
      <c r="IH120" s="90"/>
      <c r="II120" s="90"/>
      <c r="IJ120" s="90"/>
      <c r="IK120" s="90"/>
      <c r="IL120" s="90"/>
      <c r="IM120" s="90"/>
      <c r="IN120" s="90"/>
      <c r="IO120" s="90"/>
      <c r="IP120" s="90"/>
      <c r="IQ120" s="90"/>
      <c r="IR120" s="90"/>
      <c r="IS120" s="90"/>
      <c r="IT120" s="90"/>
      <c r="IU120" s="90"/>
      <c r="IV120" s="90"/>
      <c r="IW120" s="90"/>
      <c r="IX120" s="90"/>
      <c r="IY120" s="90"/>
      <c r="IZ120" s="90"/>
      <c r="JA120" s="90"/>
      <c r="JB120" s="90"/>
      <c r="JC120" s="90"/>
      <c r="JD120" s="90"/>
      <c r="JE120" s="90"/>
      <c r="JF120" s="90"/>
      <c r="JG120" s="90"/>
      <c r="JH120" s="90"/>
      <c r="JI120" s="90"/>
      <c r="JJ120" s="90"/>
      <c r="JK120" s="90"/>
      <c r="JL120" s="90"/>
      <c r="JM120" s="90"/>
      <c r="JN120" s="90"/>
      <c r="JO120" s="90"/>
      <c r="JP120" s="90"/>
      <c r="JQ120" s="90"/>
      <c r="JR120" s="90"/>
      <c r="JS120" s="90"/>
      <c r="JT120" s="90"/>
      <c r="JU120" s="90"/>
      <c r="JV120" s="90"/>
      <c r="JW120" s="90"/>
      <c r="JX120" s="90"/>
      <c r="JY120" s="90"/>
      <c r="JZ120" s="90"/>
      <c r="KA120" s="90"/>
      <c r="KB120" s="90"/>
      <c r="KC120" s="90"/>
      <c r="KD120" s="90"/>
      <c r="KE120" s="90"/>
      <c r="KF120" s="90"/>
      <c r="KG120" s="90"/>
      <c r="KH120" s="90"/>
      <c r="KI120" s="90"/>
      <c r="KJ120" s="90"/>
      <c r="KK120" s="90"/>
      <c r="KL120" s="90"/>
      <c r="KM120" s="90"/>
      <c r="KN120" s="90"/>
      <c r="KO120" s="90"/>
      <c r="KP120" s="90"/>
      <c r="KQ120" s="90"/>
      <c r="KR120" s="90"/>
      <c r="KS120" s="90"/>
      <c r="KT120" s="90"/>
      <c r="KU120" s="90"/>
      <c r="KV120" s="90"/>
      <c r="KW120" s="90"/>
      <c r="KX120" s="90"/>
      <c r="KY120" s="90"/>
      <c r="KZ120" s="90"/>
      <c r="LA120" s="90"/>
      <c r="LB120" s="90"/>
      <c r="LC120" s="90"/>
      <c r="LD120" s="90"/>
      <c r="LE120" s="90"/>
      <c r="LF120" s="90"/>
      <c r="LG120" s="90"/>
      <c r="LH120" s="90"/>
      <c r="LI120" s="90"/>
      <c r="LJ120" s="90"/>
      <c r="LK120" s="90"/>
      <c r="LL120" s="90"/>
      <c r="LM120" s="90"/>
      <c r="LN120" s="90"/>
      <c r="LO120" s="90"/>
      <c r="LP120" s="90"/>
      <c r="LQ120" s="90"/>
      <c r="LR120" s="90"/>
      <c r="LS120" s="90"/>
      <c r="LT120" s="90"/>
      <c r="LU120" s="90"/>
      <c r="LV120" s="90"/>
      <c r="LW120" s="90"/>
      <c r="LX120" s="90"/>
      <c r="LY120" s="90"/>
      <c r="LZ120" s="90"/>
      <c r="MA120" s="90"/>
      <c r="MB120" s="90"/>
      <c r="MC120" s="90"/>
      <c r="MD120" s="90"/>
      <c r="ME120" s="90"/>
      <c r="MF120" s="90"/>
      <c r="MG120" s="90"/>
      <c r="MH120" s="90"/>
      <c r="MI120" s="90"/>
      <c r="MJ120" s="90"/>
      <c r="MK120" s="90"/>
      <c r="ML120" s="90"/>
      <c r="MM120" s="90"/>
      <c r="MN120" s="90"/>
      <c r="MO120" s="90"/>
      <c r="MP120" s="90"/>
      <c r="MQ120" s="90"/>
      <c r="MR120" s="90"/>
      <c r="MS120" s="90"/>
      <c r="MT120" s="90"/>
      <c r="MU120" s="90"/>
      <c r="MV120" s="90"/>
      <c r="MW120" s="90"/>
      <c r="MX120" s="90"/>
      <c r="MY120" s="90"/>
      <c r="MZ120" s="90"/>
      <c r="NA120" s="90"/>
      <c r="NB120" s="90"/>
      <c r="NC120" s="90"/>
      <c r="ND120" s="90"/>
      <c r="NE120" s="90"/>
      <c r="NF120" s="90"/>
      <c r="NG120" s="90"/>
      <c r="NH120" s="90"/>
      <c r="NI120" s="90"/>
      <c r="NJ120" s="90"/>
      <c r="NK120" s="90"/>
      <c r="NL120" s="90"/>
      <c r="NM120" s="90"/>
      <c r="NN120" s="90"/>
      <c r="NO120" s="90"/>
      <c r="NP120" s="90"/>
      <c r="NQ120" s="90"/>
      <c r="NR120" s="90"/>
      <c r="NS120" s="90"/>
      <c r="NT120" s="90"/>
      <c r="NU120" s="90"/>
      <c r="NV120" s="90"/>
      <c r="NW120" s="90"/>
      <c r="NX120" s="90"/>
      <c r="NY120" s="90"/>
      <c r="NZ120" s="90"/>
      <c r="OA120" s="90"/>
      <c r="OB120" s="90"/>
      <c r="OC120" s="90"/>
      <c r="OD120" s="90"/>
      <c r="OE120" s="90"/>
      <c r="OF120" s="90"/>
      <c r="OG120" s="90"/>
      <c r="OH120" s="90"/>
      <c r="OI120" s="90"/>
      <c r="OJ120" s="90"/>
      <c r="OK120" s="90"/>
      <c r="OL120" s="90"/>
      <c r="OM120" s="90"/>
      <c r="ON120" s="90"/>
      <c r="OO120" s="90"/>
      <c r="OP120" s="90"/>
      <c r="OQ120" s="90"/>
      <c r="OR120" s="90"/>
      <c r="OS120" s="90"/>
      <c r="OT120" s="90"/>
      <c r="OU120" s="90"/>
      <c r="OV120" s="90"/>
      <c r="OW120" s="90"/>
      <c r="OX120" s="90"/>
      <c r="OY120" s="90"/>
      <c r="OZ120" s="90"/>
      <c r="PA120" s="90"/>
      <c r="PB120" s="90"/>
      <c r="PC120" s="90"/>
      <c r="PD120" s="90"/>
      <c r="PE120" s="90"/>
      <c r="PF120" s="90"/>
      <c r="PG120" s="90"/>
      <c r="PH120" s="90"/>
      <c r="PI120" s="90"/>
      <c r="PJ120" s="90"/>
      <c r="PK120" s="90"/>
      <c r="PL120" s="90"/>
      <c r="PM120" s="90"/>
      <c r="PN120" s="90"/>
      <c r="PO120" s="90"/>
      <c r="PP120" s="90"/>
      <c r="PQ120" s="90"/>
      <c r="PR120" s="90"/>
      <c r="PS120" s="90"/>
      <c r="PT120" s="90"/>
      <c r="PU120" s="90"/>
      <c r="PV120" s="90"/>
      <c r="PW120" s="90"/>
      <c r="PX120" s="90"/>
      <c r="PY120" s="90"/>
      <c r="PZ120" s="90"/>
      <c r="QA120" s="90"/>
      <c r="QB120" s="90"/>
      <c r="QC120" s="90"/>
      <c r="QD120" s="90"/>
      <c r="QE120" s="90"/>
      <c r="QF120" s="90"/>
      <c r="QG120" s="90"/>
      <c r="QH120" s="90"/>
      <c r="QI120" s="90"/>
      <c r="QJ120" s="90"/>
      <c r="QK120" s="90"/>
      <c r="QL120" s="90"/>
      <c r="QM120" s="90"/>
      <c r="QN120" s="90"/>
      <c r="QO120" s="90"/>
      <c r="QP120" s="90"/>
      <c r="QQ120" s="90"/>
      <c r="QR120" s="90"/>
      <c r="QS120" s="90"/>
      <c r="QT120" s="90"/>
      <c r="QU120" s="90"/>
      <c r="QV120" s="90"/>
      <c r="QW120" s="90"/>
      <c r="QX120" s="90"/>
      <c r="QY120" s="90"/>
      <c r="QZ120" s="90"/>
      <c r="RA120" s="90"/>
      <c r="RB120" s="90"/>
      <c r="RC120" s="90"/>
      <c r="RD120" s="90"/>
      <c r="RE120" s="90"/>
      <c r="RF120" s="90"/>
      <c r="RG120" s="90"/>
      <c r="RH120" s="90"/>
      <c r="RI120" s="90"/>
      <c r="RJ120" s="90"/>
      <c r="RK120" s="90"/>
      <c r="RL120" s="90"/>
      <c r="RM120" s="90"/>
      <c r="RN120" s="90"/>
      <c r="RO120" s="90"/>
      <c r="RP120" s="90"/>
      <c r="RQ120" s="90"/>
      <c r="RR120" s="90"/>
      <c r="RS120" s="90"/>
      <c r="RT120" s="90"/>
      <c r="RU120" s="90"/>
      <c r="RV120" s="90"/>
      <c r="RW120" s="90"/>
      <c r="RX120" s="90"/>
      <c r="RY120" s="90"/>
      <c r="RZ120" s="90"/>
      <c r="SA120" s="90"/>
      <c r="SB120" s="90"/>
      <c r="SC120" s="90"/>
      <c r="SD120" s="90"/>
      <c r="SE120" s="90"/>
      <c r="SF120" s="90"/>
      <c r="SG120" s="90"/>
      <c r="SH120" s="90"/>
      <c r="SI120" s="90"/>
      <c r="SJ120" s="90"/>
      <c r="SK120" s="90"/>
      <c r="SL120" s="90"/>
      <c r="SM120" s="90"/>
      <c r="SN120" s="90"/>
      <c r="SO120" s="90"/>
      <c r="SP120" s="90"/>
      <c r="SQ120" s="90"/>
      <c r="SR120" s="90"/>
      <c r="SS120" s="90"/>
      <c r="ST120" s="90"/>
      <c r="SU120" s="90"/>
      <c r="SV120" s="90"/>
      <c r="SW120" s="90"/>
      <c r="SX120" s="90"/>
      <c r="SY120" s="90"/>
      <c r="SZ120" s="90"/>
      <c r="TA120" s="90"/>
      <c r="TB120" s="90"/>
      <c r="TC120" s="90"/>
      <c r="TD120" s="90"/>
      <c r="TE120" s="90"/>
      <c r="TF120" s="90"/>
      <c r="TG120" s="90"/>
      <c r="TH120" s="90"/>
      <c r="TI120" s="90"/>
      <c r="TJ120" s="90"/>
      <c r="TK120" s="90"/>
      <c r="TL120" s="90"/>
      <c r="TM120" s="90"/>
      <c r="TN120" s="90"/>
      <c r="TO120" s="90"/>
      <c r="TP120" s="90"/>
      <c r="TQ120" s="90"/>
      <c r="TR120" s="90"/>
      <c r="TS120" s="90"/>
      <c r="TT120" s="90"/>
      <c r="TU120" s="90"/>
      <c r="TV120" s="90"/>
      <c r="TW120" s="90"/>
      <c r="TX120" s="90"/>
      <c r="TY120" s="90"/>
      <c r="TZ120" s="90"/>
      <c r="UA120" s="90"/>
      <c r="UB120" s="90"/>
      <c r="UC120" s="90"/>
      <c r="UD120" s="90"/>
      <c r="UE120" s="90"/>
      <c r="UF120" s="90"/>
      <c r="UG120" s="90"/>
      <c r="UH120" s="90"/>
      <c r="UI120" s="90"/>
      <c r="UJ120" s="90"/>
      <c r="UK120" s="90"/>
      <c r="UL120" s="90"/>
      <c r="UM120" s="90"/>
      <c r="UN120" s="90"/>
      <c r="UO120" s="90"/>
      <c r="UP120" s="90"/>
      <c r="UQ120" s="90"/>
      <c r="UR120" s="90"/>
      <c r="US120" s="90"/>
      <c r="UT120" s="90"/>
      <c r="UU120" s="90"/>
      <c r="UV120" s="90"/>
      <c r="UW120" s="90"/>
      <c r="UX120" s="90"/>
      <c r="UY120" s="90"/>
      <c r="UZ120" s="90"/>
      <c r="VA120" s="90"/>
      <c r="VB120" s="90"/>
      <c r="VC120" s="90"/>
      <c r="VD120" s="90"/>
      <c r="VE120" s="90"/>
      <c r="VF120" s="90"/>
      <c r="VG120" s="90"/>
      <c r="VH120" s="90"/>
      <c r="VI120" s="90"/>
      <c r="VJ120" s="90"/>
      <c r="VK120" s="90"/>
      <c r="VL120" s="90"/>
      <c r="VM120" s="90"/>
      <c r="VN120" s="90"/>
      <c r="VO120" s="90"/>
      <c r="VP120" s="90"/>
      <c r="VQ120" s="90"/>
      <c r="VR120" s="90"/>
      <c r="VS120" s="90"/>
      <c r="VT120" s="90"/>
      <c r="VU120" s="90"/>
      <c r="VV120" s="90"/>
      <c r="VW120" s="90"/>
      <c r="VX120" s="90"/>
      <c r="VY120" s="90"/>
      <c r="VZ120" s="90"/>
      <c r="WA120" s="90"/>
      <c r="WB120" s="90"/>
      <c r="WC120" s="90"/>
      <c r="WD120" s="90"/>
      <c r="WE120" s="90"/>
      <c r="WF120" s="90"/>
      <c r="WG120" s="90"/>
      <c r="WH120" s="90"/>
      <c r="WI120" s="90"/>
      <c r="WJ120" s="90"/>
      <c r="WK120" s="90"/>
      <c r="WL120" s="90"/>
      <c r="WM120" s="90"/>
      <c r="WN120" s="90"/>
      <c r="WO120" s="90"/>
      <c r="WP120" s="90"/>
      <c r="WQ120" s="90"/>
      <c r="WR120" s="90"/>
      <c r="WS120" s="90"/>
      <c r="WT120" s="90"/>
      <c r="WU120" s="90"/>
      <c r="WV120" s="90"/>
      <c r="WW120" s="90"/>
      <c r="WX120" s="90"/>
      <c r="WY120" s="90"/>
      <c r="WZ120" s="90"/>
      <c r="XA120" s="90"/>
      <c r="XB120" s="90"/>
      <c r="XC120" s="90"/>
      <c r="XD120" s="90"/>
      <c r="XE120" s="90"/>
      <c r="XF120" s="90"/>
      <c r="XG120" s="90"/>
      <c r="XH120" s="90"/>
      <c r="XI120" s="90"/>
      <c r="XJ120" s="90"/>
      <c r="XK120" s="90"/>
      <c r="XL120" s="90"/>
      <c r="XM120" s="90"/>
      <c r="XN120" s="90"/>
      <c r="XO120" s="90"/>
      <c r="XP120" s="90"/>
      <c r="XQ120" s="90"/>
      <c r="XR120" s="90"/>
      <c r="XS120" s="90"/>
      <c r="XT120" s="90"/>
      <c r="XU120" s="90"/>
      <c r="XV120" s="90"/>
      <c r="XW120" s="90"/>
      <c r="XX120" s="90"/>
      <c r="XY120" s="90"/>
      <c r="XZ120" s="90"/>
      <c r="YA120" s="90"/>
      <c r="YB120" s="90"/>
      <c r="YC120" s="90"/>
      <c r="YD120" s="90"/>
      <c r="YE120" s="90"/>
      <c r="YF120" s="90"/>
      <c r="YG120" s="90"/>
      <c r="YH120" s="90"/>
      <c r="YI120" s="90"/>
      <c r="YJ120" s="90"/>
      <c r="YK120" s="90"/>
      <c r="YL120" s="90"/>
      <c r="YM120" s="90"/>
      <c r="YN120" s="90"/>
      <c r="YO120" s="90"/>
      <c r="YP120" s="90"/>
      <c r="YQ120" s="90"/>
      <c r="YR120" s="90"/>
      <c r="YS120" s="90"/>
      <c r="YT120" s="90"/>
      <c r="YU120" s="90"/>
      <c r="YV120" s="90"/>
      <c r="YW120" s="90"/>
      <c r="YX120" s="90"/>
      <c r="YY120" s="90"/>
      <c r="YZ120" s="90"/>
      <c r="ZA120" s="90"/>
      <c r="ZB120" s="90"/>
      <c r="ZC120" s="90"/>
      <c r="ZD120" s="90"/>
      <c r="ZE120" s="90"/>
      <c r="ZF120" s="90"/>
      <c r="ZG120" s="90"/>
      <c r="ZH120" s="90"/>
      <c r="ZI120" s="90"/>
      <c r="ZJ120" s="90"/>
      <c r="ZK120" s="90"/>
      <c r="ZL120" s="90"/>
      <c r="ZM120" s="90"/>
      <c r="ZN120" s="90"/>
      <c r="ZO120" s="90"/>
      <c r="ZP120" s="90"/>
      <c r="ZQ120" s="90"/>
      <c r="ZR120" s="90"/>
      <c r="ZS120" s="90"/>
      <c r="ZT120" s="90"/>
      <c r="ZU120" s="90"/>
      <c r="ZV120" s="90"/>
      <c r="ZW120" s="90"/>
      <c r="ZX120" s="90"/>
      <c r="ZY120" s="90"/>
      <c r="ZZ120" s="90"/>
      <c r="AAA120" s="90"/>
      <c r="AAB120" s="90"/>
      <c r="AAC120" s="90"/>
      <c r="AAD120" s="90"/>
      <c r="AAE120" s="90"/>
      <c r="AAF120" s="90"/>
      <c r="AAG120" s="90"/>
      <c r="AAH120" s="90"/>
      <c r="AAI120" s="90"/>
      <c r="AAJ120" s="90"/>
      <c r="AAK120" s="90"/>
      <c r="AAL120" s="90"/>
      <c r="AAM120" s="90"/>
      <c r="AAN120" s="90"/>
      <c r="AAO120" s="90"/>
      <c r="AAP120" s="90"/>
      <c r="AAQ120" s="90"/>
      <c r="AAR120" s="90"/>
      <c r="AAS120" s="90"/>
      <c r="AAT120" s="90"/>
      <c r="AAU120" s="90"/>
      <c r="AAV120" s="90"/>
      <c r="AAW120" s="90"/>
      <c r="AAX120" s="90"/>
      <c r="AAY120" s="90"/>
      <c r="AAZ120" s="90"/>
      <c r="ABA120" s="90"/>
      <c r="ABB120" s="90"/>
      <c r="ABC120" s="90"/>
      <c r="ABD120" s="90"/>
      <c r="ABE120" s="90"/>
      <c r="ABF120" s="90"/>
      <c r="ABG120" s="90"/>
      <c r="ABH120" s="90"/>
      <c r="ABI120" s="90"/>
      <c r="ABJ120" s="90"/>
      <c r="ABK120" s="90"/>
      <c r="ABL120" s="90"/>
      <c r="ABM120" s="90"/>
      <c r="ABN120" s="90"/>
      <c r="ABO120" s="90"/>
      <c r="ABP120" s="90"/>
      <c r="ABQ120" s="90"/>
      <c r="ABR120" s="90"/>
      <c r="ABS120" s="90"/>
      <c r="ABT120" s="90"/>
      <c r="ABU120" s="90"/>
      <c r="ABV120" s="90"/>
      <c r="ABW120" s="90"/>
      <c r="ABX120" s="90"/>
      <c r="ABY120" s="90"/>
      <c r="ABZ120" s="90"/>
      <c r="ACA120" s="90"/>
      <c r="ACB120" s="90"/>
      <c r="ACC120" s="90"/>
      <c r="ACD120" s="90"/>
      <c r="ACE120" s="90"/>
      <c r="ACF120" s="90"/>
      <c r="ACG120" s="90"/>
      <c r="ACH120" s="90"/>
      <c r="ACI120" s="90"/>
      <c r="ACJ120" s="90"/>
      <c r="ACK120" s="90"/>
      <c r="ACL120" s="90"/>
      <c r="ACM120" s="90"/>
      <c r="ACN120" s="90"/>
      <c r="ACO120" s="90"/>
      <c r="ACP120" s="90"/>
      <c r="ACQ120" s="90"/>
      <c r="ACR120" s="90"/>
      <c r="ACS120" s="90"/>
      <c r="ACT120" s="90"/>
      <c r="ACU120" s="90"/>
      <c r="ACV120" s="90"/>
      <c r="ACW120" s="90"/>
      <c r="ACX120" s="90"/>
      <c r="ACY120" s="90"/>
      <c r="ACZ120" s="90"/>
      <c r="ADA120" s="90"/>
      <c r="ADB120" s="90"/>
      <c r="ADC120" s="90"/>
      <c r="ADD120" s="90"/>
      <c r="ADE120" s="90"/>
      <c r="ADF120" s="90"/>
      <c r="ADG120" s="90"/>
      <c r="ADH120" s="90"/>
      <c r="ADI120" s="90"/>
      <c r="ADJ120" s="90"/>
      <c r="ADK120" s="90"/>
      <c r="ADL120" s="90"/>
      <c r="ADM120" s="90"/>
      <c r="ADN120" s="90"/>
      <c r="ADO120" s="90"/>
      <c r="ADP120" s="90"/>
      <c r="ADQ120" s="90"/>
      <c r="ADR120" s="90"/>
      <c r="ADS120" s="90"/>
      <c r="ADT120" s="90"/>
      <c r="ADU120" s="90"/>
      <c r="ADV120" s="90"/>
      <c r="ADW120" s="90"/>
      <c r="ADX120" s="90"/>
      <c r="ADY120" s="90"/>
      <c r="ADZ120" s="90"/>
      <c r="AEA120" s="90"/>
      <c r="AEB120" s="90"/>
      <c r="AEC120" s="90"/>
      <c r="AED120" s="90"/>
      <c r="AEE120" s="90"/>
      <c r="AEF120" s="90"/>
      <c r="AEG120" s="90"/>
      <c r="AEH120" s="90"/>
      <c r="AEI120" s="90"/>
      <c r="AEJ120" s="90"/>
      <c r="AEK120" s="90"/>
      <c r="AEL120" s="90"/>
      <c r="AEM120" s="90"/>
      <c r="AEN120" s="90"/>
      <c r="AEO120" s="90"/>
      <c r="AEP120" s="90"/>
      <c r="AEQ120" s="90"/>
      <c r="AER120" s="90"/>
      <c r="AES120" s="90"/>
      <c r="AET120" s="90"/>
      <c r="AEU120" s="90"/>
      <c r="AEV120" s="90"/>
      <c r="AEW120" s="90"/>
      <c r="AEX120" s="90"/>
      <c r="AEY120" s="90"/>
      <c r="AEZ120" s="90"/>
      <c r="AFA120" s="90"/>
      <c r="AFB120" s="90"/>
      <c r="AFC120" s="90"/>
      <c r="AFD120" s="90"/>
      <c r="AFE120" s="90"/>
      <c r="AFF120" s="90"/>
      <c r="AFG120" s="90"/>
      <c r="AFH120" s="90"/>
      <c r="AFI120" s="90"/>
      <c r="AFJ120" s="90"/>
      <c r="AFK120" s="90"/>
      <c r="AFL120" s="90"/>
      <c r="AFM120" s="90"/>
      <c r="AFN120" s="90"/>
      <c r="AFO120" s="90"/>
      <c r="AFP120" s="90"/>
      <c r="AFQ120" s="90"/>
      <c r="AFR120" s="90"/>
      <c r="AFS120" s="90"/>
      <c r="AFT120" s="90"/>
      <c r="AFU120" s="90"/>
      <c r="AFV120" s="90"/>
      <c r="AFW120" s="90"/>
      <c r="AFX120" s="90"/>
      <c r="AFY120" s="90"/>
      <c r="AFZ120" s="90"/>
      <c r="AGA120" s="90"/>
      <c r="AGB120" s="90"/>
      <c r="AGC120" s="90"/>
      <c r="AGD120" s="90"/>
      <c r="AGE120" s="90"/>
      <c r="AGF120" s="90"/>
      <c r="AGG120" s="90"/>
      <c r="AGH120" s="90"/>
      <c r="AGI120" s="90"/>
      <c r="AGJ120" s="90"/>
      <c r="AGK120" s="90"/>
      <c r="AGL120" s="90"/>
      <c r="AGM120" s="90"/>
      <c r="AGN120" s="90"/>
      <c r="AGO120" s="90"/>
      <c r="AGP120" s="90"/>
      <c r="AGQ120" s="90"/>
      <c r="AGR120" s="90"/>
      <c r="AGS120" s="90"/>
      <c r="AGT120" s="90"/>
      <c r="AGU120" s="90"/>
      <c r="AGV120" s="90"/>
      <c r="AGW120" s="90"/>
      <c r="AGX120" s="90"/>
      <c r="AGY120" s="90"/>
      <c r="AGZ120" s="90"/>
      <c r="AHA120" s="90"/>
      <c r="AHB120" s="90"/>
      <c r="AHC120" s="90"/>
      <c r="AHD120" s="90"/>
      <c r="AHE120" s="90"/>
      <c r="AHF120" s="90"/>
      <c r="AHG120" s="90"/>
      <c r="AHH120" s="90"/>
      <c r="AHI120" s="90"/>
      <c r="AHJ120" s="90"/>
      <c r="AHK120" s="90"/>
      <c r="AHL120" s="90"/>
      <c r="AHM120" s="90"/>
      <c r="AHN120" s="90"/>
      <c r="AHO120" s="90"/>
      <c r="AHP120" s="90"/>
      <c r="AHQ120" s="90"/>
      <c r="AHR120" s="90"/>
      <c r="AHS120" s="90"/>
      <c r="AHT120" s="90"/>
      <c r="AHU120" s="90"/>
      <c r="AHV120" s="90"/>
      <c r="AHW120" s="90"/>
      <c r="AHX120" s="90"/>
      <c r="AHY120" s="90"/>
      <c r="AHZ120" s="90"/>
      <c r="AIA120" s="90"/>
      <c r="AIB120" s="90"/>
      <c r="AIC120" s="90"/>
      <c r="AID120" s="90"/>
      <c r="AIE120" s="90"/>
      <c r="AIF120" s="90"/>
      <c r="AIG120" s="90"/>
      <c r="AIH120" s="90"/>
      <c r="AII120" s="90"/>
      <c r="AIJ120" s="90"/>
      <c r="AIK120" s="90"/>
      <c r="AIL120" s="90"/>
      <c r="AIM120" s="90"/>
      <c r="AIN120" s="90"/>
      <c r="AIO120" s="90"/>
      <c r="AIP120" s="90"/>
      <c r="AIQ120" s="90"/>
      <c r="AIR120" s="90"/>
      <c r="AIS120" s="90"/>
      <c r="AIT120" s="90"/>
      <c r="AIU120" s="90"/>
      <c r="AIV120" s="90"/>
      <c r="AIW120" s="90"/>
      <c r="AIX120" s="90"/>
      <c r="AIY120" s="90"/>
      <c r="AIZ120" s="90"/>
      <c r="AJA120" s="90"/>
      <c r="AJB120" s="90"/>
      <c r="AJC120" s="90"/>
      <c r="AJD120" s="90"/>
      <c r="AJE120" s="90"/>
      <c r="AJF120" s="90"/>
      <c r="AJG120" s="90"/>
      <c r="AJH120" s="90"/>
      <c r="AJI120" s="90"/>
      <c r="AJJ120" s="90"/>
      <c r="AJK120" s="90"/>
      <c r="AJL120" s="90"/>
      <c r="AJM120" s="90"/>
      <c r="AJN120" s="90"/>
      <c r="AJO120" s="90"/>
      <c r="AJP120" s="90"/>
      <c r="AJQ120" s="90"/>
      <c r="AJR120" s="90"/>
      <c r="AJS120" s="90"/>
      <c r="AJT120" s="90"/>
      <c r="AJU120" s="90"/>
      <c r="AJV120" s="90"/>
      <c r="AJW120" s="90"/>
      <c r="AJX120" s="90"/>
      <c r="AJY120" s="90"/>
      <c r="AJZ120" s="90"/>
      <c r="AKA120" s="90"/>
      <c r="AKB120" s="90"/>
      <c r="AKC120" s="90"/>
      <c r="AKD120" s="90"/>
      <c r="AKE120" s="90"/>
      <c r="AKF120" s="90"/>
      <c r="AKG120" s="90"/>
      <c r="AKH120" s="90"/>
      <c r="AKI120" s="90"/>
      <c r="AKJ120" s="90"/>
      <c r="AKK120" s="90"/>
      <c r="AKL120" s="90"/>
      <c r="AKM120" s="90"/>
      <c r="AKN120" s="90"/>
      <c r="AKO120" s="90"/>
      <c r="AKP120" s="90"/>
      <c r="AKQ120" s="90"/>
      <c r="AKR120" s="90"/>
      <c r="AKS120" s="90"/>
      <c r="AKT120" s="90"/>
      <c r="AKU120" s="90"/>
      <c r="AKV120" s="90"/>
      <c r="AKW120" s="90"/>
      <c r="AKX120" s="90"/>
      <c r="AKY120" s="90"/>
      <c r="AKZ120" s="90"/>
      <c r="ALA120" s="90"/>
      <c r="ALB120" s="90"/>
      <c r="ALC120" s="90"/>
      <c r="ALD120" s="90"/>
      <c r="ALE120" s="90"/>
      <c r="ALF120" s="90"/>
      <c r="ALG120" s="90"/>
      <c r="ALH120" s="90"/>
      <c r="ALI120" s="90"/>
      <c r="ALJ120" s="90"/>
      <c r="ALK120" s="90"/>
      <c r="ALL120" s="90"/>
      <c r="ALM120" s="90"/>
      <c r="ALN120" s="90"/>
      <c r="ALO120" s="90"/>
      <c r="ALP120" s="90"/>
      <c r="ALQ120" s="90"/>
      <c r="ALR120" s="90"/>
      <c r="ALS120" s="90"/>
      <c r="ALT120" s="90"/>
      <c r="ALU120" s="90"/>
      <c r="ALV120" s="90"/>
      <c r="ALW120" s="90"/>
      <c r="ALX120" s="90"/>
      <c r="ALY120" s="90"/>
      <c r="ALZ120" s="90"/>
      <c r="AMA120" s="90"/>
      <c r="AMB120" s="90"/>
      <c r="AMC120" s="90"/>
      <c r="AMD120" s="90"/>
      <c r="AME120" s="90"/>
      <c r="AMF120" s="90"/>
      <c r="AMG120" s="90"/>
      <c r="AMH120" s="90"/>
      <c r="AMI120" s="90"/>
      <c r="AMJ120" s="90"/>
      <c r="AMK120" s="90"/>
      <c r="AML120" s="90"/>
      <c r="AMM120" s="90"/>
      <c r="AMN120" s="90"/>
      <c r="AMO120" s="90"/>
      <c r="AMP120" s="90"/>
      <c r="AMQ120" s="90"/>
      <c r="AMR120" s="90"/>
      <c r="AMS120" s="90"/>
      <c r="AMT120" s="90"/>
      <c r="AMU120" s="90"/>
      <c r="AMV120" s="90"/>
      <c r="AMW120" s="90"/>
      <c r="AMX120" s="90"/>
    </row>
    <row r="121" spans="1:1038" s="5" customFormat="1" ht="39.6" customHeight="1" x14ac:dyDescent="0.4">
      <c r="A121" s="18">
        <v>87</v>
      </c>
      <c r="B121" s="58" t="s">
        <v>322</v>
      </c>
      <c r="C121" s="20" t="s">
        <v>285</v>
      </c>
      <c r="D121" s="59" t="s">
        <v>149</v>
      </c>
      <c r="E121" s="59"/>
      <c r="F121" s="59" t="s">
        <v>153</v>
      </c>
      <c r="G121" s="78"/>
      <c r="H121" s="69">
        <v>46203</v>
      </c>
      <c r="I121" s="21"/>
      <c r="J121" s="23">
        <v>44.70975</v>
      </c>
      <c r="K121" s="183">
        <v>10.608269999999999</v>
      </c>
      <c r="L121" s="23"/>
      <c r="M121" s="23"/>
      <c r="N121" s="207"/>
      <c r="O121" s="61">
        <v>0</v>
      </c>
      <c r="P121" s="60">
        <v>355000</v>
      </c>
      <c r="Q121" s="61"/>
      <c r="R121" s="60"/>
      <c r="S121" s="61"/>
      <c r="T121" s="62"/>
      <c r="U121" s="62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  <c r="CD121" s="91"/>
      <c r="CE121" s="91"/>
      <c r="CF121" s="91"/>
      <c r="CG121" s="91"/>
      <c r="CH121" s="91"/>
      <c r="CI121" s="91"/>
      <c r="CJ121" s="91"/>
      <c r="CK121" s="91"/>
      <c r="CL121" s="91"/>
      <c r="CM121" s="91"/>
      <c r="CN121" s="91"/>
      <c r="CO121" s="91"/>
      <c r="CP121" s="91"/>
      <c r="CQ121" s="91"/>
      <c r="CR121" s="91"/>
      <c r="CS121" s="91"/>
      <c r="CT121" s="91"/>
      <c r="CU121" s="91"/>
      <c r="CV121" s="91"/>
      <c r="CW121" s="91"/>
      <c r="CX121" s="91"/>
      <c r="CY121" s="91"/>
      <c r="CZ121" s="91"/>
      <c r="DA121" s="91"/>
      <c r="DB121" s="91"/>
      <c r="DC121" s="91"/>
      <c r="DD121" s="91"/>
      <c r="DE121" s="91"/>
      <c r="DF121" s="91"/>
      <c r="DG121" s="91"/>
      <c r="DH121" s="91"/>
      <c r="DI121" s="91"/>
      <c r="DJ121" s="91"/>
      <c r="DK121" s="91"/>
      <c r="DL121" s="91"/>
      <c r="DM121" s="91"/>
      <c r="DN121" s="91"/>
      <c r="DO121" s="91"/>
      <c r="DP121" s="91"/>
      <c r="DQ121" s="91"/>
      <c r="DR121" s="91"/>
      <c r="DS121" s="91"/>
      <c r="DT121" s="91"/>
      <c r="DU121" s="91"/>
      <c r="DV121" s="91"/>
      <c r="DW121" s="91"/>
      <c r="DX121" s="91"/>
      <c r="DY121" s="91"/>
      <c r="DZ121" s="91"/>
      <c r="EA121" s="91"/>
      <c r="EB121" s="91"/>
      <c r="EC121" s="91"/>
      <c r="ED121" s="91"/>
      <c r="EE121" s="91"/>
      <c r="EF121" s="91"/>
      <c r="EG121" s="91"/>
      <c r="EH121" s="91"/>
      <c r="EI121" s="91"/>
      <c r="EJ121" s="91"/>
      <c r="EK121" s="91"/>
      <c r="EL121" s="91"/>
      <c r="EM121" s="91"/>
      <c r="EN121" s="91"/>
      <c r="EO121" s="91"/>
      <c r="EP121" s="91"/>
      <c r="EQ121" s="91"/>
      <c r="ER121" s="91"/>
      <c r="ES121" s="91"/>
      <c r="ET121" s="91"/>
      <c r="EU121" s="91"/>
      <c r="EV121" s="91"/>
      <c r="EW121" s="91"/>
      <c r="EX121" s="91"/>
      <c r="EY121" s="91"/>
      <c r="EZ121" s="91"/>
      <c r="FA121" s="91"/>
      <c r="FB121" s="91"/>
      <c r="FC121" s="91"/>
      <c r="FD121" s="91"/>
      <c r="FE121" s="91"/>
      <c r="FF121" s="91"/>
      <c r="FG121" s="91"/>
      <c r="FH121" s="91"/>
      <c r="FI121" s="91"/>
      <c r="FJ121" s="91"/>
      <c r="FK121" s="91"/>
      <c r="FL121" s="91"/>
      <c r="FM121" s="91"/>
      <c r="FN121" s="91"/>
      <c r="FO121" s="91"/>
      <c r="FP121" s="91"/>
      <c r="FQ121" s="91"/>
      <c r="FR121" s="91"/>
      <c r="FS121" s="91"/>
      <c r="FT121" s="91"/>
      <c r="FU121" s="91"/>
      <c r="FV121" s="91"/>
      <c r="FW121" s="91"/>
      <c r="FX121" s="91"/>
      <c r="FY121" s="91"/>
      <c r="FZ121" s="91"/>
      <c r="GA121" s="91"/>
      <c r="GB121" s="91"/>
      <c r="GC121" s="91"/>
      <c r="GD121" s="91"/>
      <c r="GE121" s="91"/>
      <c r="GF121" s="91"/>
      <c r="GG121" s="91"/>
      <c r="GH121" s="91"/>
      <c r="GI121" s="91"/>
      <c r="GJ121" s="91"/>
      <c r="GK121" s="91"/>
      <c r="GL121" s="91"/>
      <c r="GM121" s="91"/>
      <c r="GN121" s="91"/>
      <c r="GO121" s="91"/>
      <c r="GP121" s="91"/>
      <c r="GQ121" s="91"/>
      <c r="GR121" s="91"/>
      <c r="GS121" s="91"/>
      <c r="GT121" s="91"/>
      <c r="GU121" s="91"/>
      <c r="GV121" s="91"/>
      <c r="GW121" s="91"/>
      <c r="GX121" s="91"/>
      <c r="GY121" s="91"/>
      <c r="GZ121" s="91"/>
      <c r="HA121" s="91"/>
      <c r="HB121" s="91"/>
      <c r="HC121" s="91"/>
      <c r="HD121" s="91"/>
      <c r="HE121" s="91"/>
      <c r="HF121" s="91"/>
      <c r="HG121" s="91"/>
      <c r="HH121" s="91"/>
      <c r="HI121" s="91"/>
      <c r="HJ121" s="91"/>
      <c r="HK121" s="91"/>
      <c r="HL121" s="91"/>
      <c r="HM121" s="91"/>
      <c r="HN121" s="91"/>
      <c r="HO121" s="91"/>
      <c r="HP121" s="91"/>
      <c r="HQ121" s="91"/>
      <c r="HR121" s="91"/>
      <c r="HS121" s="91"/>
      <c r="HT121" s="91"/>
      <c r="HU121" s="91"/>
      <c r="HV121" s="91"/>
      <c r="HW121" s="91"/>
      <c r="HX121" s="91"/>
      <c r="HY121" s="91"/>
      <c r="HZ121" s="91"/>
      <c r="IA121" s="91"/>
      <c r="IB121" s="91"/>
      <c r="IC121" s="91"/>
      <c r="ID121" s="91"/>
      <c r="IE121" s="91"/>
      <c r="IF121" s="91"/>
      <c r="IG121" s="91"/>
      <c r="IH121" s="91"/>
      <c r="II121" s="91"/>
      <c r="IJ121" s="91"/>
      <c r="IK121" s="91"/>
      <c r="IL121" s="91"/>
      <c r="IM121" s="91"/>
      <c r="IN121" s="91"/>
      <c r="IO121" s="91"/>
      <c r="IP121" s="91"/>
      <c r="IQ121" s="91"/>
      <c r="IR121" s="91"/>
      <c r="IS121" s="91"/>
      <c r="IT121" s="91"/>
      <c r="IU121" s="91"/>
      <c r="IV121" s="91"/>
      <c r="IW121" s="91"/>
      <c r="IX121" s="91"/>
      <c r="IY121" s="91"/>
      <c r="IZ121" s="91"/>
      <c r="JA121" s="91"/>
      <c r="JB121" s="91"/>
      <c r="JC121" s="91"/>
      <c r="JD121" s="91"/>
      <c r="JE121" s="91"/>
      <c r="JF121" s="91"/>
      <c r="JG121" s="91"/>
      <c r="JH121" s="91"/>
      <c r="JI121" s="91"/>
      <c r="JJ121" s="91"/>
      <c r="JK121" s="91"/>
      <c r="JL121" s="91"/>
      <c r="JM121" s="91"/>
      <c r="JN121" s="91"/>
      <c r="JO121" s="91"/>
      <c r="JP121" s="91"/>
      <c r="JQ121" s="91"/>
      <c r="JR121" s="91"/>
      <c r="JS121" s="91"/>
      <c r="JT121" s="91"/>
      <c r="JU121" s="91"/>
      <c r="JV121" s="91"/>
      <c r="JW121" s="91"/>
      <c r="JX121" s="91"/>
      <c r="JY121" s="91"/>
      <c r="JZ121" s="91"/>
      <c r="KA121" s="91"/>
      <c r="KB121" s="91"/>
      <c r="KC121" s="91"/>
      <c r="KD121" s="91"/>
      <c r="KE121" s="91"/>
      <c r="KF121" s="91"/>
      <c r="KG121" s="91"/>
      <c r="KH121" s="91"/>
      <c r="KI121" s="91"/>
      <c r="KJ121" s="91"/>
      <c r="KK121" s="91"/>
      <c r="KL121" s="91"/>
      <c r="KM121" s="91"/>
      <c r="KN121" s="91"/>
      <c r="KO121" s="91"/>
      <c r="KP121" s="91"/>
      <c r="KQ121" s="91"/>
      <c r="KR121" s="91"/>
      <c r="KS121" s="91"/>
      <c r="KT121" s="91"/>
      <c r="KU121" s="91"/>
      <c r="KV121" s="91"/>
      <c r="KW121" s="91"/>
      <c r="KX121" s="91"/>
      <c r="KY121" s="91"/>
      <c r="KZ121" s="91"/>
      <c r="LA121" s="91"/>
      <c r="LB121" s="91"/>
      <c r="LC121" s="91"/>
      <c r="LD121" s="91"/>
      <c r="LE121" s="91"/>
      <c r="LF121" s="91"/>
      <c r="LG121" s="91"/>
      <c r="LH121" s="91"/>
      <c r="LI121" s="91"/>
      <c r="LJ121" s="91"/>
      <c r="LK121" s="91"/>
      <c r="LL121" s="91"/>
      <c r="LM121" s="91"/>
      <c r="LN121" s="91"/>
      <c r="LO121" s="91"/>
      <c r="LP121" s="91"/>
      <c r="LQ121" s="91"/>
      <c r="LR121" s="91"/>
      <c r="LS121" s="91"/>
      <c r="LT121" s="91"/>
      <c r="LU121" s="91"/>
      <c r="LV121" s="91"/>
      <c r="LW121" s="91"/>
      <c r="LX121" s="91"/>
      <c r="LY121" s="91"/>
      <c r="LZ121" s="91"/>
      <c r="MA121" s="91"/>
      <c r="MB121" s="91"/>
      <c r="MC121" s="91"/>
      <c r="MD121" s="91"/>
      <c r="ME121" s="91"/>
      <c r="MF121" s="91"/>
      <c r="MG121" s="91"/>
      <c r="MH121" s="91"/>
      <c r="MI121" s="91"/>
      <c r="MJ121" s="91"/>
      <c r="MK121" s="91"/>
      <c r="ML121" s="91"/>
      <c r="MM121" s="91"/>
      <c r="MN121" s="91"/>
      <c r="MO121" s="91"/>
      <c r="MP121" s="91"/>
      <c r="MQ121" s="91"/>
      <c r="MR121" s="91"/>
      <c r="MS121" s="91"/>
      <c r="MT121" s="91"/>
      <c r="MU121" s="91"/>
      <c r="MV121" s="91"/>
      <c r="MW121" s="91"/>
      <c r="MX121" s="91"/>
      <c r="MY121" s="91"/>
      <c r="MZ121" s="91"/>
      <c r="NA121" s="91"/>
      <c r="NB121" s="91"/>
      <c r="NC121" s="91"/>
      <c r="ND121" s="91"/>
      <c r="NE121" s="91"/>
      <c r="NF121" s="91"/>
      <c r="NG121" s="91"/>
      <c r="NH121" s="91"/>
      <c r="NI121" s="91"/>
      <c r="NJ121" s="91"/>
      <c r="NK121" s="91"/>
      <c r="NL121" s="91"/>
      <c r="NM121" s="91"/>
      <c r="NN121" s="91"/>
      <c r="NO121" s="91"/>
      <c r="NP121" s="91"/>
      <c r="NQ121" s="91"/>
      <c r="NR121" s="91"/>
      <c r="NS121" s="91"/>
      <c r="NT121" s="91"/>
      <c r="NU121" s="91"/>
      <c r="NV121" s="91"/>
      <c r="NW121" s="91"/>
      <c r="NX121" s="91"/>
      <c r="NY121" s="91"/>
      <c r="NZ121" s="91"/>
      <c r="OA121" s="91"/>
      <c r="OB121" s="91"/>
      <c r="OC121" s="91"/>
      <c r="OD121" s="91"/>
      <c r="OE121" s="91"/>
      <c r="OF121" s="91"/>
      <c r="OG121" s="91"/>
      <c r="OH121" s="91"/>
      <c r="OI121" s="91"/>
      <c r="OJ121" s="91"/>
      <c r="OK121" s="91"/>
      <c r="OL121" s="91"/>
      <c r="OM121" s="91"/>
      <c r="ON121" s="91"/>
      <c r="OO121" s="91"/>
      <c r="OP121" s="91"/>
      <c r="OQ121" s="91"/>
      <c r="OR121" s="91"/>
      <c r="OS121" s="91"/>
      <c r="OT121" s="91"/>
      <c r="OU121" s="91"/>
      <c r="OV121" s="91"/>
      <c r="OW121" s="91"/>
      <c r="OX121" s="91"/>
      <c r="OY121" s="91"/>
      <c r="OZ121" s="91"/>
      <c r="PA121" s="91"/>
      <c r="PB121" s="91"/>
      <c r="PC121" s="91"/>
      <c r="PD121" s="91"/>
      <c r="PE121" s="91"/>
      <c r="PF121" s="91"/>
      <c r="PG121" s="91"/>
      <c r="PH121" s="91"/>
      <c r="PI121" s="91"/>
      <c r="PJ121" s="91"/>
      <c r="PK121" s="91"/>
      <c r="PL121" s="91"/>
      <c r="PM121" s="91"/>
      <c r="PN121" s="91"/>
      <c r="PO121" s="91"/>
      <c r="PP121" s="91"/>
      <c r="PQ121" s="91"/>
      <c r="PR121" s="91"/>
      <c r="PS121" s="91"/>
      <c r="PT121" s="91"/>
      <c r="PU121" s="91"/>
      <c r="PV121" s="91"/>
      <c r="PW121" s="91"/>
      <c r="PX121" s="91"/>
      <c r="PY121" s="91"/>
      <c r="PZ121" s="91"/>
      <c r="QA121" s="91"/>
      <c r="QB121" s="91"/>
      <c r="QC121" s="91"/>
      <c r="QD121" s="91"/>
      <c r="QE121" s="91"/>
      <c r="QF121" s="91"/>
      <c r="QG121" s="91"/>
      <c r="QH121" s="91"/>
      <c r="QI121" s="91"/>
      <c r="QJ121" s="91"/>
      <c r="QK121" s="91"/>
      <c r="QL121" s="91"/>
      <c r="QM121" s="91"/>
      <c r="QN121" s="91"/>
      <c r="QO121" s="91"/>
      <c r="QP121" s="91"/>
      <c r="QQ121" s="91"/>
      <c r="QR121" s="91"/>
      <c r="QS121" s="91"/>
      <c r="QT121" s="91"/>
      <c r="QU121" s="91"/>
      <c r="QV121" s="91"/>
      <c r="QW121" s="91"/>
      <c r="QX121" s="91"/>
      <c r="QY121" s="91"/>
      <c r="QZ121" s="91"/>
      <c r="RA121" s="91"/>
      <c r="RB121" s="91"/>
      <c r="RC121" s="91"/>
      <c r="RD121" s="91"/>
      <c r="RE121" s="91"/>
      <c r="RF121" s="91"/>
      <c r="RG121" s="91"/>
      <c r="RH121" s="91"/>
      <c r="RI121" s="91"/>
      <c r="RJ121" s="91"/>
      <c r="RK121" s="91"/>
      <c r="RL121" s="91"/>
      <c r="RM121" s="91"/>
      <c r="RN121" s="91"/>
      <c r="RO121" s="91"/>
      <c r="RP121" s="91"/>
      <c r="RQ121" s="91"/>
      <c r="RR121" s="91"/>
      <c r="RS121" s="91"/>
      <c r="RT121" s="91"/>
      <c r="RU121" s="91"/>
      <c r="RV121" s="91"/>
      <c r="RW121" s="91"/>
      <c r="RX121" s="91"/>
      <c r="RY121" s="91"/>
      <c r="RZ121" s="91"/>
      <c r="SA121" s="91"/>
      <c r="SB121" s="91"/>
      <c r="SC121" s="91"/>
      <c r="SD121" s="91"/>
      <c r="SE121" s="91"/>
      <c r="SF121" s="91"/>
      <c r="SG121" s="91"/>
      <c r="SH121" s="91"/>
      <c r="SI121" s="91"/>
      <c r="SJ121" s="91"/>
      <c r="SK121" s="91"/>
      <c r="SL121" s="91"/>
      <c r="SM121" s="91"/>
      <c r="SN121" s="91"/>
      <c r="SO121" s="91"/>
      <c r="SP121" s="91"/>
      <c r="SQ121" s="91"/>
      <c r="SR121" s="91"/>
      <c r="SS121" s="91"/>
      <c r="ST121" s="91"/>
      <c r="SU121" s="91"/>
      <c r="SV121" s="91"/>
      <c r="SW121" s="91"/>
      <c r="SX121" s="91"/>
      <c r="SY121" s="91"/>
      <c r="SZ121" s="91"/>
      <c r="TA121" s="91"/>
      <c r="TB121" s="91"/>
      <c r="TC121" s="91"/>
      <c r="TD121" s="91"/>
      <c r="TE121" s="91"/>
      <c r="TF121" s="91"/>
      <c r="TG121" s="91"/>
      <c r="TH121" s="91"/>
      <c r="TI121" s="91"/>
      <c r="TJ121" s="91"/>
      <c r="TK121" s="91"/>
      <c r="TL121" s="91"/>
      <c r="TM121" s="91"/>
      <c r="TN121" s="91"/>
      <c r="TO121" s="91"/>
      <c r="TP121" s="91"/>
      <c r="TQ121" s="91"/>
      <c r="TR121" s="91"/>
      <c r="TS121" s="91"/>
      <c r="TT121" s="91"/>
      <c r="TU121" s="91"/>
      <c r="TV121" s="91"/>
      <c r="TW121" s="91"/>
      <c r="TX121" s="91"/>
      <c r="TY121" s="91"/>
      <c r="TZ121" s="91"/>
      <c r="UA121" s="91"/>
      <c r="UB121" s="91"/>
      <c r="UC121" s="91"/>
      <c r="UD121" s="91"/>
      <c r="UE121" s="91"/>
      <c r="UF121" s="91"/>
      <c r="UG121" s="91"/>
      <c r="UH121" s="91"/>
      <c r="UI121" s="91"/>
      <c r="UJ121" s="91"/>
      <c r="UK121" s="91"/>
      <c r="UL121" s="91"/>
      <c r="UM121" s="91"/>
      <c r="UN121" s="91"/>
      <c r="UO121" s="91"/>
      <c r="UP121" s="91"/>
      <c r="UQ121" s="91"/>
      <c r="UR121" s="91"/>
      <c r="US121" s="91"/>
      <c r="UT121" s="91"/>
      <c r="UU121" s="91"/>
      <c r="UV121" s="91"/>
      <c r="UW121" s="91"/>
      <c r="UX121" s="91"/>
      <c r="UY121" s="91"/>
      <c r="UZ121" s="91"/>
      <c r="VA121" s="91"/>
      <c r="VB121" s="91"/>
      <c r="VC121" s="91"/>
      <c r="VD121" s="91"/>
      <c r="VE121" s="91"/>
      <c r="VF121" s="91"/>
      <c r="VG121" s="91"/>
      <c r="VH121" s="91"/>
      <c r="VI121" s="91"/>
      <c r="VJ121" s="91"/>
      <c r="VK121" s="91"/>
      <c r="VL121" s="91"/>
      <c r="VM121" s="91"/>
      <c r="VN121" s="91"/>
      <c r="VO121" s="91"/>
      <c r="VP121" s="91"/>
      <c r="VQ121" s="91"/>
      <c r="VR121" s="91"/>
      <c r="VS121" s="91"/>
      <c r="VT121" s="91"/>
      <c r="VU121" s="91"/>
      <c r="VV121" s="91"/>
      <c r="VW121" s="91"/>
      <c r="VX121" s="91"/>
      <c r="VY121" s="91"/>
      <c r="VZ121" s="91"/>
      <c r="WA121" s="91"/>
      <c r="WB121" s="91"/>
      <c r="WC121" s="91"/>
      <c r="WD121" s="91"/>
      <c r="WE121" s="91"/>
      <c r="WF121" s="91"/>
      <c r="WG121" s="91"/>
      <c r="WH121" s="91"/>
      <c r="WI121" s="91"/>
      <c r="WJ121" s="91"/>
      <c r="WK121" s="91"/>
      <c r="WL121" s="91"/>
      <c r="WM121" s="91"/>
      <c r="WN121" s="91"/>
      <c r="WO121" s="91"/>
      <c r="WP121" s="91"/>
      <c r="WQ121" s="91"/>
      <c r="WR121" s="91"/>
      <c r="WS121" s="91"/>
      <c r="WT121" s="91"/>
      <c r="WU121" s="91"/>
      <c r="WV121" s="91"/>
      <c r="WW121" s="91"/>
      <c r="WX121" s="91"/>
      <c r="WY121" s="91"/>
      <c r="WZ121" s="91"/>
      <c r="XA121" s="91"/>
      <c r="XB121" s="91"/>
      <c r="XC121" s="91"/>
      <c r="XD121" s="91"/>
      <c r="XE121" s="91"/>
      <c r="XF121" s="91"/>
      <c r="XG121" s="91"/>
      <c r="XH121" s="91"/>
      <c r="XI121" s="91"/>
      <c r="XJ121" s="91"/>
      <c r="XK121" s="91"/>
      <c r="XL121" s="91"/>
      <c r="XM121" s="91"/>
      <c r="XN121" s="91"/>
      <c r="XO121" s="91"/>
      <c r="XP121" s="91"/>
      <c r="XQ121" s="91"/>
      <c r="XR121" s="91"/>
      <c r="XS121" s="91"/>
      <c r="XT121" s="91"/>
      <c r="XU121" s="91"/>
      <c r="XV121" s="91"/>
      <c r="XW121" s="91"/>
      <c r="XX121" s="91"/>
      <c r="XY121" s="91"/>
      <c r="XZ121" s="91"/>
      <c r="YA121" s="91"/>
      <c r="YB121" s="91"/>
      <c r="YC121" s="91"/>
      <c r="YD121" s="91"/>
      <c r="YE121" s="91"/>
      <c r="YF121" s="91"/>
      <c r="YG121" s="91"/>
      <c r="YH121" s="91"/>
      <c r="YI121" s="91"/>
      <c r="YJ121" s="91"/>
      <c r="YK121" s="91"/>
      <c r="YL121" s="91"/>
      <c r="YM121" s="91"/>
      <c r="YN121" s="91"/>
      <c r="YO121" s="91"/>
      <c r="YP121" s="91"/>
      <c r="YQ121" s="91"/>
      <c r="YR121" s="91"/>
      <c r="YS121" s="91"/>
      <c r="YT121" s="91"/>
      <c r="YU121" s="91"/>
      <c r="YV121" s="91"/>
      <c r="YW121" s="91"/>
      <c r="YX121" s="91"/>
      <c r="YY121" s="91"/>
      <c r="YZ121" s="91"/>
      <c r="ZA121" s="91"/>
      <c r="ZB121" s="91"/>
      <c r="ZC121" s="91"/>
      <c r="ZD121" s="91"/>
      <c r="ZE121" s="91"/>
      <c r="ZF121" s="91"/>
      <c r="ZG121" s="91"/>
      <c r="ZH121" s="91"/>
      <c r="ZI121" s="91"/>
      <c r="ZJ121" s="91"/>
      <c r="ZK121" s="91"/>
      <c r="ZL121" s="91"/>
      <c r="ZM121" s="91"/>
      <c r="ZN121" s="91"/>
      <c r="ZO121" s="91"/>
      <c r="ZP121" s="91"/>
      <c r="ZQ121" s="91"/>
      <c r="ZR121" s="91"/>
      <c r="ZS121" s="91"/>
      <c r="ZT121" s="91"/>
      <c r="ZU121" s="91"/>
      <c r="ZV121" s="91"/>
      <c r="ZW121" s="91"/>
      <c r="ZX121" s="91"/>
      <c r="ZY121" s="91"/>
      <c r="ZZ121" s="91"/>
      <c r="AAA121" s="91"/>
      <c r="AAB121" s="91"/>
      <c r="AAC121" s="91"/>
      <c r="AAD121" s="91"/>
      <c r="AAE121" s="91"/>
      <c r="AAF121" s="91"/>
      <c r="AAG121" s="91"/>
      <c r="AAH121" s="91"/>
      <c r="AAI121" s="91"/>
      <c r="AAJ121" s="91"/>
      <c r="AAK121" s="91"/>
      <c r="AAL121" s="91"/>
      <c r="AAM121" s="91"/>
      <c r="AAN121" s="91"/>
      <c r="AAO121" s="91"/>
      <c r="AAP121" s="91"/>
      <c r="AAQ121" s="91"/>
      <c r="AAR121" s="91"/>
      <c r="AAS121" s="91"/>
      <c r="AAT121" s="91"/>
      <c r="AAU121" s="91"/>
      <c r="AAV121" s="91"/>
      <c r="AAW121" s="91"/>
      <c r="AAX121" s="91"/>
      <c r="AAY121" s="91"/>
      <c r="AAZ121" s="91"/>
      <c r="ABA121" s="91"/>
      <c r="ABB121" s="91"/>
      <c r="ABC121" s="91"/>
      <c r="ABD121" s="91"/>
      <c r="ABE121" s="91"/>
      <c r="ABF121" s="91"/>
      <c r="ABG121" s="91"/>
      <c r="ABH121" s="91"/>
      <c r="ABI121" s="91"/>
      <c r="ABJ121" s="91"/>
      <c r="ABK121" s="91"/>
      <c r="ABL121" s="91"/>
      <c r="ABM121" s="91"/>
      <c r="ABN121" s="91"/>
      <c r="ABO121" s="91"/>
      <c r="ABP121" s="91"/>
      <c r="ABQ121" s="91"/>
      <c r="ABR121" s="91"/>
      <c r="ABS121" s="91"/>
      <c r="ABT121" s="91"/>
      <c r="ABU121" s="91"/>
      <c r="ABV121" s="91"/>
      <c r="ABW121" s="91"/>
      <c r="ABX121" s="91"/>
      <c r="ABY121" s="91"/>
      <c r="ABZ121" s="91"/>
      <c r="ACA121" s="91"/>
      <c r="ACB121" s="91"/>
      <c r="ACC121" s="91"/>
      <c r="ACD121" s="91"/>
      <c r="ACE121" s="91"/>
      <c r="ACF121" s="91"/>
      <c r="ACG121" s="91"/>
      <c r="ACH121" s="91"/>
      <c r="ACI121" s="91"/>
      <c r="ACJ121" s="91"/>
      <c r="ACK121" s="91"/>
      <c r="ACL121" s="91"/>
      <c r="ACM121" s="91"/>
      <c r="ACN121" s="91"/>
      <c r="ACO121" s="91"/>
      <c r="ACP121" s="91"/>
      <c r="ACQ121" s="91"/>
      <c r="ACR121" s="91"/>
      <c r="ACS121" s="91"/>
      <c r="ACT121" s="91"/>
      <c r="ACU121" s="91"/>
      <c r="ACV121" s="91"/>
      <c r="ACW121" s="91"/>
      <c r="ACX121" s="91"/>
      <c r="ACY121" s="91"/>
      <c r="ACZ121" s="91"/>
      <c r="ADA121" s="91"/>
      <c r="ADB121" s="91"/>
      <c r="ADC121" s="91"/>
      <c r="ADD121" s="91"/>
      <c r="ADE121" s="91"/>
      <c r="ADF121" s="91"/>
      <c r="ADG121" s="91"/>
      <c r="ADH121" s="91"/>
      <c r="ADI121" s="91"/>
      <c r="ADJ121" s="91"/>
      <c r="ADK121" s="91"/>
      <c r="ADL121" s="91"/>
      <c r="ADM121" s="91"/>
      <c r="ADN121" s="91"/>
      <c r="ADO121" s="91"/>
      <c r="ADP121" s="91"/>
      <c r="ADQ121" s="91"/>
      <c r="ADR121" s="91"/>
      <c r="ADS121" s="91"/>
      <c r="ADT121" s="91"/>
      <c r="ADU121" s="91"/>
      <c r="ADV121" s="91"/>
      <c r="ADW121" s="91"/>
      <c r="ADX121" s="91"/>
      <c r="ADY121" s="91"/>
      <c r="ADZ121" s="91"/>
      <c r="AEA121" s="91"/>
      <c r="AEB121" s="91"/>
      <c r="AEC121" s="91"/>
      <c r="AED121" s="91"/>
      <c r="AEE121" s="91"/>
      <c r="AEF121" s="91"/>
      <c r="AEG121" s="91"/>
      <c r="AEH121" s="91"/>
      <c r="AEI121" s="91"/>
      <c r="AEJ121" s="91"/>
      <c r="AEK121" s="91"/>
      <c r="AEL121" s="91"/>
      <c r="AEM121" s="91"/>
      <c r="AEN121" s="91"/>
      <c r="AEO121" s="91"/>
      <c r="AEP121" s="91"/>
      <c r="AEQ121" s="91"/>
      <c r="AER121" s="91"/>
      <c r="AES121" s="91"/>
      <c r="AET121" s="91"/>
      <c r="AEU121" s="91"/>
      <c r="AEV121" s="91"/>
      <c r="AEW121" s="91"/>
      <c r="AEX121" s="91"/>
      <c r="AEY121" s="91"/>
      <c r="AEZ121" s="91"/>
      <c r="AFA121" s="91"/>
      <c r="AFB121" s="91"/>
      <c r="AFC121" s="91"/>
      <c r="AFD121" s="91"/>
      <c r="AFE121" s="91"/>
      <c r="AFF121" s="91"/>
      <c r="AFG121" s="91"/>
      <c r="AFH121" s="91"/>
      <c r="AFI121" s="91"/>
      <c r="AFJ121" s="91"/>
      <c r="AFK121" s="91"/>
      <c r="AFL121" s="91"/>
      <c r="AFM121" s="91"/>
      <c r="AFN121" s="91"/>
      <c r="AFO121" s="91"/>
      <c r="AFP121" s="91"/>
      <c r="AFQ121" s="91"/>
      <c r="AFR121" s="91"/>
      <c r="AFS121" s="91"/>
      <c r="AFT121" s="91"/>
      <c r="AFU121" s="91"/>
      <c r="AFV121" s="91"/>
      <c r="AFW121" s="91"/>
      <c r="AFX121" s="91"/>
      <c r="AFY121" s="91"/>
      <c r="AFZ121" s="91"/>
      <c r="AGA121" s="91"/>
      <c r="AGB121" s="91"/>
      <c r="AGC121" s="91"/>
      <c r="AGD121" s="91"/>
      <c r="AGE121" s="91"/>
      <c r="AGF121" s="91"/>
      <c r="AGG121" s="91"/>
      <c r="AGH121" s="91"/>
      <c r="AGI121" s="91"/>
      <c r="AGJ121" s="91"/>
      <c r="AGK121" s="91"/>
      <c r="AGL121" s="91"/>
      <c r="AGM121" s="91"/>
      <c r="AGN121" s="91"/>
      <c r="AGO121" s="91"/>
      <c r="AGP121" s="91"/>
      <c r="AGQ121" s="91"/>
      <c r="AGR121" s="91"/>
      <c r="AGS121" s="91"/>
      <c r="AGT121" s="91"/>
      <c r="AGU121" s="91"/>
      <c r="AGV121" s="91"/>
      <c r="AGW121" s="91"/>
      <c r="AGX121" s="91"/>
      <c r="AGY121" s="91"/>
      <c r="AGZ121" s="91"/>
      <c r="AHA121" s="91"/>
      <c r="AHB121" s="91"/>
      <c r="AHC121" s="91"/>
      <c r="AHD121" s="91"/>
      <c r="AHE121" s="91"/>
      <c r="AHF121" s="91"/>
      <c r="AHG121" s="91"/>
      <c r="AHH121" s="91"/>
      <c r="AHI121" s="91"/>
      <c r="AHJ121" s="91"/>
      <c r="AHK121" s="91"/>
      <c r="AHL121" s="91"/>
      <c r="AHM121" s="91"/>
      <c r="AHN121" s="91"/>
      <c r="AHO121" s="91"/>
      <c r="AHP121" s="91"/>
      <c r="AHQ121" s="91"/>
      <c r="AHR121" s="91"/>
      <c r="AHS121" s="91"/>
      <c r="AHT121" s="91"/>
      <c r="AHU121" s="91"/>
      <c r="AHV121" s="91"/>
      <c r="AHW121" s="91"/>
      <c r="AHX121" s="91"/>
      <c r="AHY121" s="91"/>
      <c r="AHZ121" s="91"/>
      <c r="AIA121" s="91"/>
      <c r="AIB121" s="91"/>
      <c r="AIC121" s="91"/>
      <c r="AID121" s="91"/>
      <c r="AIE121" s="91"/>
      <c r="AIF121" s="91"/>
      <c r="AIG121" s="91"/>
      <c r="AIH121" s="91"/>
      <c r="AII121" s="91"/>
      <c r="AIJ121" s="91"/>
      <c r="AIK121" s="91"/>
      <c r="AIL121" s="91"/>
      <c r="AIM121" s="91"/>
      <c r="AIN121" s="91"/>
      <c r="AIO121" s="91"/>
      <c r="AIP121" s="91"/>
      <c r="AIQ121" s="91"/>
      <c r="AIR121" s="91"/>
      <c r="AIS121" s="91"/>
      <c r="AIT121" s="91"/>
      <c r="AIU121" s="91"/>
      <c r="AIV121" s="91"/>
      <c r="AIW121" s="91"/>
      <c r="AIX121" s="91"/>
      <c r="AIY121" s="91"/>
      <c r="AIZ121" s="91"/>
      <c r="AJA121" s="91"/>
      <c r="AJB121" s="91"/>
      <c r="AJC121" s="91"/>
      <c r="AJD121" s="91"/>
      <c r="AJE121" s="91"/>
      <c r="AJF121" s="91"/>
      <c r="AJG121" s="91"/>
      <c r="AJH121" s="91"/>
      <c r="AJI121" s="91"/>
      <c r="AJJ121" s="91"/>
      <c r="AJK121" s="91"/>
      <c r="AJL121" s="91"/>
      <c r="AJM121" s="91"/>
      <c r="AJN121" s="91"/>
      <c r="AJO121" s="91"/>
      <c r="AJP121" s="91"/>
      <c r="AJQ121" s="91"/>
      <c r="AJR121" s="91"/>
      <c r="AJS121" s="91"/>
      <c r="AJT121" s="91"/>
      <c r="AJU121" s="91"/>
      <c r="AJV121" s="91"/>
      <c r="AJW121" s="91"/>
      <c r="AJX121" s="91"/>
      <c r="AJY121" s="91"/>
      <c r="AJZ121" s="91"/>
      <c r="AKA121" s="91"/>
      <c r="AKB121" s="91"/>
      <c r="AKC121" s="91"/>
      <c r="AKD121" s="91"/>
      <c r="AKE121" s="91"/>
      <c r="AKF121" s="91"/>
      <c r="AKG121" s="91"/>
      <c r="AKH121" s="91"/>
      <c r="AKI121" s="91"/>
      <c r="AKJ121" s="91"/>
      <c r="AKK121" s="91"/>
      <c r="AKL121" s="91"/>
      <c r="AKM121" s="91"/>
      <c r="AKN121" s="91"/>
      <c r="AKO121" s="91"/>
      <c r="AKP121" s="91"/>
      <c r="AKQ121" s="91"/>
      <c r="AKR121" s="91"/>
      <c r="AKS121" s="91"/>
      <c r="AKT121" s="91"/>
      <c r="AKU121" s="91"/>
      <c r="AKV121" s="91"/>
      <c r="AKW121" s="91"/>
      <c r="AKX121" s="91"/>
      <c r="AKY121" s="91"/>
      <c r="AKZ121" s="91"/>
      <c r="ALA121" s="91"/>
      <c r="ALB121" s="91"/>
      <c r="ALC121" s="91"/>
      <c r="ALD121" s="91"/>
      <c r="ALE121" s="91"/>
      <c r="ALF121" s="91"/>
      <c r="ALG121" s="91"/>
      <c r="ALH121" s="91"/>
      <c r="ALI121" s="91"/>
      <c r="ALJ121" s="91"/>
      <c r="ALK121" s="91"/>
      <c r="ALL121" s="91"/>
      <c r="ALM121" s="91"/>
      <c r="ALN121" s="91"/>
      <c r="ALO121" s="91"/>
      <c r="ALP121" s="91"/>
      <c r="ALQ121" s="91"/>
      <c r="ALR121" s="91"/>
      <c r="ALS121" s="91"/>
      <c r="ALT121" s="91"/>
      <c r="ALU121" s="91"/>
      <c r="ALV121" s="91"/>
      <c r="ALW121" s="91"/>
      <c r="ALX121" s="91"/>
      <c r="ALY121" s="91"/>
      <c r="ALZ121" s="91"/>
      <c r="AMA121" s="91"/>
      <c r="AMB121" s="91"/>
      <c r="AMC121" s="91"/>
      <c r="AMD121" s="91"/>
      <c r="AME121" s="91"/>
      <c r="AMF121" s="91"/>
      <c r="AMG121" s="91"/>
      <c r="AMH121" s="91"/>
      <c r="AMI121" s="91"/>
      <c r="AMJ121" s="91"/>
      <c r="AMK121" s="91"/>
      <c r="AML121" s="91"/>
      <c r="AMM121" s="91"/>
      <c r="AMN121" s="91"/>
      <c r="AMO121" s="91"/>
      <c r="AMP121" s="91"/>
      <c r="AMQ121" s="91"/>
      <c r="AMR121" s="91"/>
      <c r="AMS121" s="91"/>
      <c r="AMT121" s="91"/>
      <c r="AMU121" s="91"/>
      <c r="AMV121" s="91"/>
      <c r="AMW121" s="91"/>
      <c r="AMX121" s="91"/>
    </row>
    <row r="122" spans="1:1038" s="5" customFormat="1" ht="42.2" customHeight="1" x14ac:dyDescent="0.4">
      <c r="A122" s="103">
        <v>88</v>
      </c>
      <c r="B122" s="104" t="s">
        <v>322</v>
      </c>
      <c r="C122" s="105" t="s">
        <v>286</v>
      </c>
      <c r="D122" s="106" t="s">
        <v>152</v>
      </c>
      <c r="E122" s="106"/>
      <c r="F122" s="106" t="s">
        <v>153</v>
      </c>
      <c r="G122" s="107"/>
      <c r="H122" s="108">
        <v>46203</v>
      </c>
      <c r="I122" s="109"/>
      <c r="J122" s="120"/>
      <c r="K122" s="194"/>
      <c r="L122" s="42"/>
      <c r="M122" s="42"/>
      <c r="N122" s="208"/>
      <c r="O122" s="112">
        <v>0</v>
      </c>
      <c r="P122" s="111">
        <v>110980</v>
      </c>
      <c r="Q122" s="112"/>
      <c r="R122" s="111"/>
      <c r="S122" s="112"/>
      <c r="T122" s="113"/>
      <c r="U122" s="113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1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  <c r="CD122" s="91"/>
      <c r="CE122" s="91"/>
      <c r="CF122" s="91"/>
      <c r="CG122" s="91"/>
      <c r="CH122" s="91"/>
      <c r="CI122" s="91"/>
      <c r="CJ122" s="91"/>
      <c r="CK122" s="91"/>
      <c r="CL122" s="91"/>
      <c r="CM122" s="91"/>
      <c r="CN122" s="91"/>
      <c r="CO122" s="91"/>
      <c r="CP122" s="91"/>
      <c r="CQ122" s="91"/>
      <c r="CR122" s="91"/>
      <c r="CS122" s="91"/>
      <c r="CT122" s="91"/>
      <c r="CU122" s="91"/>
      <c r="CV122" s="91"/>
      <c r="CW122" s="91"/>
      <c r="CX122" s="91"/>
      <c r="CY122" s="91"/>
      <c r="CZ122" s="91"/>
      <c r="DA122" s="91"/>
      <c r="DB122" s="91"/>
      <c r="DC122" s="91"/>
      <c r="DD122" s="91"/>
      <c r="DE122" s="91"/>
      <c r="DF122" s="91"/>
      <c r="DG122" s="91"/>
      <c r="DH122" s="91"/>
      <c r="DI122" s="91"/>
      <c r="DJ122" s="91"/>
      <c r="DK122" s="91"/>
      <c r="DL122" s="91"/>
      <c r="DM122" s="91"/>
      <c r="DN122" s="91"/>
      <c r="DO122" s="91"/>
      <c r="DP122" s="91"/>
      <c r="DQ122" s="91"/>
      <c r="DR122" s="91"/>
      <c r="DS122" s="91"/>
      <c r="DT122" s="91"/>
      <c r="DU122" s="91"/>
      <c r="DV122" s="91"/>
      <c r="DW122" s="91"/>
      <c r="DX122" s="91"/>
      <c r="DY122" s="91"/>
      <c r="DZ122" s="91"/>
      <c r="EA122" s="91"/>
      <c r="EB122" s="91"/>
      <c r="EC122" s="91"/>
      <c r="ED122" s="91"/>
      <c r="EE122" s="91"/>
      <c r="EF122" s="91"/>
      <c r="EG122" s="91"/>
      <c r="EH122" s="91"/>
      <c r="EI122" s="91"/>
      <c r="EJ122" s="91"/>
      <c r="EK122" s="91"/>
      <c r="EL122" s="91"/>
      <c r="EM122" s="91"/>
      <c r="EN122" s="91"/>
      <c r="EO122" s="91"/>
      <c r="EP122" s="91"/>
      <c r="EQ122" s="91"/>
      <c r="ER122" s="91"/>
      <c r="ES122" s="91"/>
      <c r="ET122" s="91"/>
      <c r="EU122" s="91"/>
      <c r="EV122" s="91"/>
      <c r="EW122" s="91"/>
      <c r="EX122" s="91"/>
      <c r="EY122" s="91"/>
      <c r="EZ122" s="91"/>
      <c r="FA122" s="91"/>
      <c r="FB122" s="91"/>
      <c r="FC122" s="91"/>
      <c r="FD122" s="91"/>
      <c r="FE122" s="91"/>
      <c r="FF122" s="91"/>
      <c r="FG122" s="91"/>
      <c r="FH122" s="91"/>
      <c r="FI122" s="91"/>
      <c r="FJ122" s="91"/>
      <c r="FK122" s="91"/>
      <c r="FL122" s="91"/>
      <c r="FM122" s="91"/>
      <c r="FN122" s="91"/>
      <c r="FO122" s="91"/>
      <c r="FP122" s="91"/>
      <c r="FQ122" s="91"/>
      <c r="FR122" s="91"/>
      <c r="FS122" s="91"/>
      <c r="FT122" s="91"/>
      <c r="FU122" s="91"/>
      <c r="FV122" s="91"/>
      <c r="FW122" s="91"/>
      <c r="FX122" s="91"/>
      <c r="FY122" s="91"/>
      <c r="FZ122" s="91"/>
      <c r="GA122" s="91"/>
      <c r="GB122" s="91"/>
      <c r="GC122" s="91"/>
      <c r="GD122" s="91"/>
      <c r="GE122" s="91"/>
      <c r="GF122" s="91"/>
      <c r="GG122" s="91"/>
      <c r="GH122" s="91"/>
      <c r="GI122" s="91"/>
      <c r="GJ122" s="91"/>
      <c r="GK122" s="91"/>
      <c r="GL122" s="91"/>
      <c r="GM122" s="91"/>
      <c r="GN122" s="91"/>
      <c r="GO122" s="91"/>
      <c r="GP122" s="91"/>
      <c r="GQ122" s="91"/>
      <c r="GR122" s="91"/>
      <c r="GS122" s="91"/>
      <c r="GT122" s="91"/>
      <c r="GU122" s="91"/>
      <c r="GV122" s="91"/>
      <c r="GW122" s="91"/>
      <c r="GX122" s="91"/>
      <c r="GY122" s="91"/>
      <c r="GZ122" s="91"/>
      <c r="HA122" s="91"/>
      <c r="HB122" s="91"/>
      <c r="HC122" s="91"/>
      <c r="HD122" s="91"/>
      <c r="HE122" s="91"/>
      <c r="HF122" s="91"/>
      <c r="HG122" s="91"/>
      <c r="HH122" s="91"/>
      <c r="HI122" s="91"/>
      <c r="HJ122" s="91"/>
      <c r="HK122" s="91"/>
      <c r="HL122" s="91"/>
      <c r="HM122" s="91"/>
      <c r="HN122" s="91"/>
      <c r="HO122" s="91"/>
      <c r="HP122" s="91"/>
      <c r="HQ122" s="91"/>
      <c r="HR122" s="91"/>
      <c r="HS122" s="91"/>
      <c r="HT122" s="91"/>
      <c r="HU122" s="91"/>
      <c r="HV122" s="91"/>
      <c r="HW122" s="91"/>
      <c r="HX122" s="91"/>
      <c r="HY122" s="91"/>
      <c r="HZ122" s="91"/>
      <c r="IA122" s="91"/>
      <c r="IB122" s="91"/>
      <c r="IC122" s="91"/>
      <c r="ID122" s="91"/>
      <c r="IE122" s="91"/>
      <c r="IF122" s="91"/>
      <c r="IG122" s="91"/>
      <c r="IH122" s="91"/>
      <c r="II122" s="91"/>
      <c r="IJ122" s="91"/>
      <c r="IK122" s="91"/>
      <c r="IL122" s="91"/>
      <c r="IM122" s="91"/>
      <c r="IN122" s="91"/>
      <c r="IO122" s="91"/>
      <c r="IP122" s="91"/>
      <c r="IQ122" s="91"/>
      <c r="IR122" s="91"/>
      <c r="IS122" s="91"/>
      <c r="IT122" s="91"/>
      <c r="IU122" s="91"/>
      <c r="IV122" s="91"/>
      <c r="IW122" s="91"/>
      <c r="IX122" s="91"/>
      <c r="IY122" s="91"/>
      <c r="IZ122" s="91"/>
      <c r="JA122" s="91"/>
      <c r="JB122" s="91"/>
      <c r="JC122" s="91"/>
      <c r="JD122" s="91"/>
      <c r="JE122" s="91"/>
      <c r="JF122" s="91"/>
      <c r="JG122" s="91"/>
      <c r="JH122" s="91"/>
      <c r="JI122" s="91"/>
      <c r="JJ122" s="91"/>
      <c r="JK122" s="91"/>
      <c r="JL122" s="91"/>
      <c r="JM122" s="91"/>
      <c r="JN122" s="91"/>
      <c r="JO122" s="91"/>
      <c r="JP122" s="91"/>
      <c r="JQ122" s="91"/>
      <c r="JR122" s="91"/>
      <c r="JS122" s="91"/>
      <c r="JT122" s="91"/>
      <c r="JU122" s="91"/>
      <c r="JV122" s="91"/>
      <c r="JW122" s="91"/>
      <c r="JX122" s="91"/>
      <c r="JY122" s="91"/>
      <c r="JZ122" s="91"/>
      <c r="KA122" s="91"/>
      <c r="KB122" s="91"/>
      <c r="KC122" s="91"/>
      <c r="KD122" s="91"/>
      <c r="KE122" s="91"/>
      <c r="KF122" s="91"/>
      <c r="KG122" s="91"/>
      <c r="KH122" s="91"/>
      <c r="KI122" s="91"/>
      <c r="KJ122" s="91"/>
      <c r="KK122" s="91"/>
      <c r="KL122" s="91"/>
      <c r="KM122" s="91"/>
      <c r="KN122" s="91"/>
      <c r="KO122" s="91"/>
      <c r="KP122" s="91"/>
      <c r="KQ122" s="91"/>
      <c r="KR122" s="91"/>
      <c r="KS122" s="91"/>
      <c r="KT122" s="91"/>
      <c r="KU122" s="91"/>
      <c r="KV122" s="91"/>
      <c r="KW122" s="91"/>
      <c r="KX122" s="91"/>
      <c r="KY122" s="91"/>
      <c r="KZ122" s="91"/>
      <c r="LA122" s="91"/>
      <c r="LB122" s="91"/>
      <c r="LC122" s="91"/>
      <c r="LD122" s="91"/>
      <c r="LE122" s="91"/>
      <c r="LF122" s="91"/>
      <c r="LG122" s="91"/>
      <c r="LH122" s="91"/>
      <c r="LI122" s="91"/>
      <c r="LJ122" s="91"/>
      <c r="LK122" s="91"/>
      <c r="LL122" s="91"/>
      <c r="LM122" s="91"/>
      <c r="LN122" s="91"/>
      <c r="LO122" s="91"/>
      <c r="LP122" s="91"/>
      <c r="LQ122" s="91"/>
      <c r="LR122" s="91"/>
      <c r="LS122" s="91"/>
      <c r="LT122" s="91"/>
      <c r="LU122" s="91"/>
      <c r="LV122" s="91"/>
      <c r="LW122" s="91"/>
      <c r="LX122" s="91"/>
      <c r="LY122" s="91"/>
      <c r="LZ122" s="91"/>
      <c r="MA122" s="91"/>
      <c r="MB122" s="91"/>
      <c r="MC122" s="91"/>
      <c r="MD122" s="91"/>
      <c r="ME122" s="91"/>
      <c r="MF122" s="91"/>
      <c r="MG122" s="91"/>
      <c r="MH122" s="91"/>
      <c r="MI122" s="91"/>
      <c r="MJ122" s="91"/>
      <c r="MK122" s="91"/>
      <c r="ML122" s="91"/>
      <c r="MM122" s="91"/>
      <c r="MN122" s="91"/>
      <c r="MO122" s="91"/>
      <c r="MP122" s="91"/>
      <c r="MQ122" s="91"/>
      <c r="MR122" s="91"/>
      <c r="MS122" s="91"/>
      <c r="MT122" s="91"/>
      <c r="MU122" s="91"/>
      <c r="MV122" s="91"/>
      <c r="MW122" s="91"/>
      <c r="MX122" s="91"/>
      <c r="MY122" s="91"/>
      <c r="MZ122" s="91"/>
      <c r="NA122" s="91"/>
      <c r="NB122" s="91"/>
      <c r="NC122" s="91"/>
      <c r="ND122" s="91"/>
      <c r="NE122" s="91"/>
      <c r="NF122" s="91"/>
      <c r="NG122" s="91"/>
      <c r="NH122" s="91"/>
      <c r="NI122" s="91"/>
      <c r="NJ122" s="91"/>
      <c r="NK122" s="91"/>
      <c r="NL122" s="91"/>
      <c r="NM122" s="91"/>
      <c r="NN122" s="91"/>
      <c r="NO122" s="91"/>
      <c r="NP122" s="91"/>
      <c r="NQ122" s="91"/>
      <c r="NR122" s="91"/>
      <c r="NS122" s="91"/>
      <c r="NT122" s="91"/>
      <c r="NU122" s="91"/>
      <c r="NV122" s="91"/>
      <c r="NW122" s="91"/>
      <c r="NX122" s="91"/>
      <c r="NY122" s="91"/>
      <c r="NZ122" s="91"/>
      <c r="OA122" s="91"/>
      <c r="OB122" s="91"/>
      <c r="OC122" s="91"/>
      <c r="OD122" s="91"/>
      <c r="OE122" s="91"/>
      <c r="OF122" s="91"/>
      <c r="OG122" s="91"/>
      <c r="OH122" s="91"/>
      <c r="OI122" s="91"/>
      <c r="OJ122" s="91"/>
      <c r="OK122" s="91"/>
      <c r="OL122" s="91"/>
      <c r="OM122" s="91"/>
      <c r="ON122" s="91"/>
      <c r="OO122" s="91"/>
      <c r="OP122" s="91"/>
      <c r="OQ122" s="91"/>
      <c r="OR122" s="91"/>
      <c r="OS122" s="91"/>
      <c r="OT122" s="91"/>
      <c r="OU122" s="91"/>
      <c r="OV122" s="91"/>
      <c r="OW122" s="91"/>
      <c r="OX122" s="91"/>
      <c r="OY122" s="91"/>
      <c r="OZ122" s="91"/>
      <c r="PA122" s="91"/>
      <c r="PB122" s="91"/>
      <c r="PC122" s="91"/>
      <c r="PD122" s="91"/>
      <c r="PE122" s="91"/>
      <c r="PF122" s="91"/>
      <c r="PG122" s="91"/>
      <c r="PH122" s="91"/>
      <c r="PI122" s="91"/>
      <c r="PJ122" s="91"/>
      <c r="PK122" s="91"/>
      <c r="PL122" s="91"/>
      <c r="PM122" s="91"/>
      <c r="PN122" s="91"/>
      <c r="PO122" s="91"/>
      <c r="PP122" s="91"/>
      <c r="PQ122" s="91"/>
      <c r="PR122" s="91"/>
      <c r="PS122" s="91"/>
      <c r="PT122" s="91"/>
      <c r="PU122" s="91"/>
      <c r="PV122" s="91"/>
      <c r="PW122" s="91"/>
      <c r="PX122" s="91"/>
      <c r="PY122" s="91"/>
      <c r="PZ122" s="91"/>
      <c r="QA122" s="91"/>
      <c r="QB122" s="91"/>
      <c r="QC122" s="91"/>
      <c r="QD122" s="91"/>
      <c r="QE122" s="91"/>
      <c r="QF122" s="91"/>
      <c r="QG122" s="91"/>
      <c r="QH122" s="91"/>
      <c r="QI122" s="91"/>
      <c r="QJ122" s="91"/>
      <c r="QK122" s="91"/>
      <c r="QL122" s="91"/>
      <c r="QM122" s="91"/>
      <c r="QN122" s="91"/>
      <c r="QO122" s="91"/>
      <c r="QP122" s="91"/>
      <c r="QQ122" s="91"/>
      <c r="QR122" s="91"/>
      <c r="QS122" s="91"/>
      <c r="QT122" s="91"/>
      <c r="QU122" s="91"/>
      <c r="QV122" s="91"/>
      <c r="QW122" s="91"/>
      <c r="QX122" s="91"/>
      <c r="QY122" s="91"/>
      <c r="QZ122" s="91"/>
      <c r="RA122" s="91"/>
      <c r="RB122" s="91"/>
      <c r="RC122" s="91"/>
      <c r="RD122" s="91"/>
      <c r="RE122" s="91"/>
      <c r="RF122" s="91"/>
      <c r="RG122" s="91"/>
      <c r="RH122" s="91"/>
      <c r="RI122" s="91"/>
      <c r="RJ122" s="91"/>
      <c r="RK122" s="91"/>
      <c r="RL122" s="91"/>
      <c r="RM122" s="91"/>
      <c r="RN122" s="91"/>
      <c r="RO122" s="91"/>
      <c r="RP122" s="91"/>
      <c r="RQ122" s="91"/>
      <c r="RR122" s="91"/>
      <c r="RS122" s="91"/>
      <c r="RT122" s="91"/>
      <c r="RU122" s="91"/>
      <c r="RV122" s="91"/>
      <c r="RW122" s="91"/>
      <c r="RX122" s="91"/>
      <c r="RY122" s="91"/>
      <c r="RZ122" s="91"/>
      <c r="SA122" s="91"/>
      <c r="SB122" s="91"/>
      <c r="SC122" s="91"/>
      <c r="SD122" s="91"/>
      <c r="SE122" s="91"/>
      <c r="SF122" s="91"/>
      <c r="SG122" s="91"/>
      <c r="SH122" s="91"/>
      <c r="SI122" s="91"/>
      <c r="SJ122" s="91"/>
      <c r="SK122" s="91"/>
      <c r="SL122" s="91"/>
      <c r="SM122" s="91"/>
      <c r="SN122" s="91"/>
      <c r="SO122" s="91"/>
      <c r="SP122" s="91"/>
      <c r="SQ122" s="91"/>
      <c r="SR122" s="91"/>
      <c r="SS122" s="91"/>
      <c r="ST122" s="91"/>
      <c r="SU122" s="91"/>
      <c r="SV122" s="91"/>
      <c r="SW122" s="91"/>
      <c r="SX122" s="91"/>
      <c r="SY122" s="91"/>
      <c r="SZ122" s="91"/>
      <c r="TA122" s="91"/>
      <c r="TB122" s="91"/>
      <c r="TC122" s="91"/>
      <c r="TD122" s="91"/>
      <c r="TE122" s="91"/>
      <c r="TF122" s="91"/>
      <c r="TG122" s="91"/>
      <c r="TH122" s="91"/>
      <c r="TI122" s="91"/>
      <c r="TJ122" s="91"/>
      <c r="TK122" s="91"/>
      <c r="TL122" s="91"/>
      <c r="TM122" s="91"/>
      <c r="TN122" s="91"/>
      <c r="TO122" s="91"/>
      <c r="TP122" s="91"/>
      <c r="TQ122" s="91"/>
      <c r="TR122" s="91"/>
      <c r="TS122" s="91"/>
      <c r="TT122" s="91"/>
      <c r="TU122" s="91"/>
      <c r="TV122" s="91"/>
      <c r="TW122" s="91"/>
      <c r="TX122" s="91"/>
      <c r="TY122" s="91"/>
      <c r="TZ122" s="91"/>
      <c r="UA122" s="91"/>
      <c r="UB122" s="91"/>
      <c r="UC122" s="91"/>
      <c r="UD122" s="91"/>
      <c r="UE122" s="91"/>
      <c r="UF122" s="91"/>
      <c r="UG122" s="91"/>
      <c r="UH122" s="91"/>
      <c r="UI122" s="91"/>
      <c r="UJ122" s="91"/>
      <c r="UK122" s="91"/>
      <c r="UL122" s="91"/>
      <c r="UM122" s="91"/>
      <c r="UN122" s="91"/>
      <c r="UO122" s="91"/>
      <c r="UP122" s="91"/>
      <c r="UQ122" s="91"/>
      <c r="UR122" s="91"/>
      <c r="US122" s="91"/>
      <c r="UT122" s="91"/>
      <c r="UU122" s="91"/>
      <c r="UV122" s="91"/>
      <c r="UW122" s="91"/>
      <c r="UX122" s="91"/>
      <c r="UY122" s="91"/>
      <c r="UZ122" s="91"/>
      <c r="VA122" s="91"/>
      <c r="VB122" s="91"/>
      <c r="VC122" s="91"/>
      <c r="VD122" s="91"/>
      <c r="VE122" s="91"/>
      <c r="VF122" s="91"/>
      <c r="VG122" s="91"/>
      <c r="VH122" s="91"/>
      <c r="VI122" s="91"/>
      <c r="VJ122" s="91"/>
      <c r="VK122" s="91"/>
      <c r="VL122" s="91"/>
      <c r="VM122" s="91"/>
      <c r="VN122" s="91"/>
      <c r="VO122" s="91"/>
      <c r="VP122" s="91"/>
      <c r="VQ122" s="91"/>
      <c r="VR122" s="91"/>
      <c r="VS122" s="91"/>
      <c r="VT122" s="91"/>
      <c r="VU122" s="91"/>
      <c r="VV122" s="91"/>
      <c r="VW122" s="91"/>
      <c r="VX122" s="91"/>
      <c r="VY122" s="91"/>
      <c r="VZ122" s="91"/>
      <c r="WA122" s="91"/>
      <c r="WB122" s="91"/>
      <c r="WC122" s="91"/>
      <c r="WD122" s="91"/>
      <c r="WE122" s="91"/>
      <c r="WF122" s="91"/>
      <c r="WG122" s="91"/>
      <c r="WH122" s="91"/>
      <c r="WI122" s="91"/>
      <c r="WJ122" s="91"/>
      <c r="WK122" s="91"/>
      <c r="WL122" s="91"/>
      <c r="WM122" s="91"/>
      <c r="WN122" s="91"/>
      <c r="WO122" s="91"/>
      <c r="WP122" s="91"/>
      <c r="WQ122" s="91"/>
      <c r="WR122" s="91"/>
      <c r="WS122" s="91"/>
      <c r="WT122" s="91"/>
      <c r="WU122" s="91"/>
      <c r="WV122" s="91"/>
      <c r="WW122" s="91"/>
      <c r="WX122" s="91"/>
      <c r="WY122" s="91"/>
      <c r="WZ122" s="91"/>
      <c r="XA122" s="91"/>
      <c r="XB122" s="91"/>
      <c r="XC122" s="91"/>
      <c r="XD122" s="91"/>
      <c r="XE122" s="91"/>
      <c r="XF122" s="91"/>
      <c r="XG122" s="91"/>
      <c r="XH122" s="91"/>
      <c r="XI122" s="91"/>
      <c r="XJ122" s="91"/>
      <c r="XK122" s="91"/>
      <c r="XL122" s="91"/>
      <c r="XM122" s="91"/>
      <c r="XN122" s="91"/>
      <c r="XO122" s="91"/>
      <c r="XP122" s="91"/>
      <c r="XQ122" s="91"/>
      <c r="XR122" s="91"/>
      <c r="XS122" s="91"/>
      <c r="XT122" s="91"/>
      <c r="XU122" s="91"/>
      <c r="XV122" s="91"/>
      <c r="XW122" s="91"/>
      <c r="XX122" s="91"/>
      <c r="XY122" s="91"/>
      <c r="XZ122" s="91"/>
      <c r="YA122" s="91"/>
      <c r="YB122" s="91"/>
      <c r="YC122" s="91"/>
      <c r="YD122" s="91"/>
      <c r="YE122" s="91"/>
      <c r="YF122" s="91"/>
      <c r="YG122" s="91"/>
      <c r="YH122" s="91"/>
      <c r="YI122" s="91"/>
      <c r="YJ122" s="91"/>
      <c r="YK122" s="91"/>
      <c r="YL122" s="91"/>
      <c r="YM122" s="91"/>
      <c r="YN122" s="91"/>
      <c r="YO122" s="91"/>
      <c r="YP122" s="91"/>
      <c r="YQ122" s="91"/>
      <c r="YR122" s="91"/>
      <c r="YS122" s="91"/>
      <c r="YT122" s="91"/>
      <c r="YU122" s="91"/>
      <c r="YV122" s="91"/>
      <c r="YW122" s="91"/>
      <c r="YX122" s="91"/>
      <c r="YY122" s="91"/>
      <c r="YZ122" s="91"/>
      <c r="ZA122" s="91"/>
      <c r="ZB122" s="91"/>
      <c r="ZC122" s="91"/>
      <c r="ZD122" s="91"/>
      <c r="ZE122" s="91"/>
      <c r="ZF122" s="91"/>
      <c r="ZG122" s="91"/>
      <c r="ZH122" s="91"/>
      <c r="ZI122" s="91"/>
      <c r="ZJ122" s="91"/>
      <c r="ZK122" s="91"/>
      <c r="ZL122" s="91"/>
      <c r="ZM122" s="91"/>
      <c r="ZN122" s="91"/>
      <c r="ZO122" s="91"/>
      <c r="ZP122" s="91"/>
      <c r="ZQ122" s="91"/>
      <c r="ZR122" s="91"/>
      <c r="ZS122" s="91"/>
      <c r="ZT122" s="91"/>
      <c r="ZU122" s="91"/>
      <c r="ZV122" s="91"/>
      <c r="ZW122" s="91"/>
      <c r="ZX122" s="91"/>
      <c r="ZY122" s="91"/>
      <c r="ZZ122" s="91"/>
      <c r="AAA122" s="91"/>
      <c r="AAB122" s="91"/>
      <c r="AAC122" s="91"/>
      <c r="AAD122" s="91"/>
      <c r="AAE122" s="91"/>
      <c r="AAF122" s="91"/>
      <c r="AAG122" s="91"/>
      <c r="AAH122" s="91"/>
      <c r="AAI122" s="91"/>
      <c r="AAJ122" s="91"/>
      <c r="AAK122" s="91"/>
      <c r="AAL122" s="91"/>
      <c r="AAM122" s="91"/>
      <c r="AAN122" s="91"/>
      <c r="AAO122" s="91"/>
      <c r="AAP122" s="91"/>
      <c r="AAQ122" s="91"/>
      <c r="AAR122" s="91"/>
      <c r="AAS122" s="91"/>
      <c r="AAT122" s="91"/>
      <c r="AAU122" s="91"/>
      <c r="AAV122" s="91"/>
      <c r="AAW122" s="91"/>
      <c r="AAX122" s="91"/>
      <c r="AAY122" s="91"/>
      <c r="AAZ122" s="91"/>
      <c r="ABA122" s="91"/>
      <c r="ABB122" s="91"/>
      <c r="ABC122" s="91"/>
      <c r="ABD122" s="91"/>
      <c r="ABE122" s="91"/>
      <c r="ABF122" s="91"/>
      <c r="ABG122" s="91"/>
      <c r="ABH122" s="91"/>
      <c r="ABI122" s="91"/>
      <c r="ABJ122" s="91"/>
      <c r="ABK122" s="91"/>
      <c r="ABL122" s="91"/>
      <c r="ABM122" s="91"/>
      <c r="ABN122" s="91"/>
      <c r="ABO122" s="91"/>
      <c r="ABP122" s="91"/>
      <c r="ABQ122" s="91"/>
      <c r="ABR122" s="91"/>
      <c r="ABS122" s="91"/>
      <c r="ABT122" s="91"/>
      <c r="ABU122" s="91"/>
      <c r="ABV122" s="91"/>
      <c r="ABW122" s="91"/>
      <c r="ABX122" s="91"/>
      <c r="ABY122" s="91"/>
      <c r="ABZ122" s="91"/>
      <c r="ACA122" s="91"/>
      <c r="ACB122" s="91"/>
      <c r="ACC122" s="91"/>
      <c r="ACD122" s="91"/>
      <c r="ACE122" s="91"/>
      <c r="ACF122" s="91"/>
      <c r="ACG122" s="91"/>
      <c r="ACH122" s="91"/>
      <c r="ACI122" s="91"/>
      <c r="ACJ122" s="91"/>
      <c r="ACK122" s="91"/>
      <c r="ACL122" s="91"/>
      <c r="ACM122" s="91"/>
      <c r="ACN122" s="91"/>
      <c r="ACO122" s="91"/>
      <c r="ACP122" s="91"/>
      <c r="ACQ122" s="91"/>
      <c r="ACR122" s="91"/>
      <c r="ACS122" s="91"/>
      <c r="ACT122" s="91"/>
      <c r="ACU122" s="91"/>
      <c r="ACV122" s="91"/>
      <c r="ACW122" s="91"/>
      <c r="ACX122" s="91"/>
      <c r="ACY122" s="91"/>
      <c r="ACZ122" s="91"/>
      <c r="ADA122" s="91"/>
      <c r="ADB122" s="91"/>
      <c r="ADC122" s="91"/>
      <c r="ADD122" s="91"/>
      <c r="ADE122" s="91"/>
      <c r="ADF122" s="91"/>
      <c r="ADG122" s="91"/>
      <c r="ADH122" s="91"/>
      <c r="ADI122" s="91"/>
      <c r="ADJ122" s="91"/>
      <c r="ADK122" s="91"/>
      <c r="ADL122" s="91"/>
      <c r="ADM122" s="91"/>
      <c r="ADN122" s="91"/>
      <c r="ADO122" s="91"/>
      <c r="ADP122" s="91"/>
      <c r="ADQ122" s="91"/>
      <c r="ADR122" s="91"/>
      <c r="ADS122" s="91"/>
      <c r="ADT122" s="91"/>
      <c r="ADU122" s="91"/>
      <c r="ADV122" s="91"/>
      <c r="ADW122" s="91"/>
      <c r="ADX122" s="91"/>
      <c r="ADY122" s="91"/>
      <c r="ADZ122" s="91"/>
      <c r="AEA122" s="91"/>
      <c r="AEB122" s="91"/>
      <c r="AEC122" s="91"/>
      <c r="AED122" s="91"/>
      <c r="AEE122" s="91"/>
      <c r="AEF122" s="91"/>
      <c r="AEG122" s="91"/>
      <c r="AEH122" s="91"/>
      <c r="AEI122" s="91"/>
      <c r="AEJ122" s="91"/>
      <c r="AEK122" s="91"/>
      <c r="AEL122" s="91"/>
      <c r="AEM122" s="91"/>
      <c r="AEN122" s="91"/>
      <c r="AEO122" s="91"/>
      <c r="AEP122" s="91"/>
      <c r="AEQ122" s="91"/>
      <c r="AER122" s="91"/>
      <c r="AES122" s="91"/>
      <c r="AET122" s="91"/>
      <c r="AEU122" s="91"/>
      <c r="AEV122" s="91"/>
      <c r="AEW122" s="91"/>
      <c r="AEX122" s="91"/>
      <c r="AEY122" s="91"/>
      <c r="AEZ122" s="91"/>
      <c r="AFA122" s="91"/>
      <c r="AFB122" s="91"/>
      <c r="AFC122" s="91"/>
      <c r="AFD122" s="91"/>
      <c r="AFE122" s="91"/>
      <c r="AFF122" s="91"/>
      <c r="AFG122" s="91"/>
      <c r="AFH122" s="91"/>
      <c r="AFI122" s="91"/>
      <c r="AFJ122" s="91"/>
      <c r="AFK122" s="91"/>
      <c r="AFL122" s="91"/>
      <c r="AFM122" s="91"/>
      <c r="AFN122" s="91"/>
      <c r="AFO122" s="91"/>
      <c r="AFP122" s="91"/>
      <c r="AFQ122" s="91"/>
      <c r="AFR122" s="91"/>
      <c r="AFS122" s="91"/>
      <c r="AFT122" s="91"/>
      <c r="AFU122" s="91"/>
      <c r="AFV122" s="91"/>
      <c r="AFW122" s="91"/>
      <c r="AFX122" s="91"/>
      <c r="AFY122" s="91"/>
      <c r="AFZ122" s="91"/>
      <c r="AGA122" s="91"/>
      <c r="AGB122" s="91"/>
      <c r="AGC122" s="91"/>
      <c r="AGD122" s="91"/>
      <c r="AGE122" s="91"/>
      <c r="AGF122" s="91"/>
      <c r="AGG122" s="91"/>
      <c r="AGH122" s="91"/>
      <c r="AGI122" s="91"/>
      <c r="AGJ122" s="91"/>
      <c r="AGK122" s="91"/>
      <c r="AGL122" s="91"/>
      <c r="AGM122" s="91"/>
      <c r="AGN122" s="91"/>
      <c r="AGO122" s="91"/>
      <c r="AGP122" s="91"/>
      <c r="AGQ122" s="91"/>
      <c r="AGR122" s="91"/>
      <c r="AGS122" s="91"/>
      <c r="AGT122" s="91"/>
      <c r="AGU122" s="91"/>
      <c r="AGV122" s="91"/>
      <c r="AGW122" s="91"/>
      <c r="AGX122" s="91"/>
      <c r="AGY122" s="91"/>
      <c r="AGZ122" s="91"/>
      <c r="AHA122" s="91"/>
      <c r="AHB122" s="91"/>
      <c r="AHC122" s="91"/>
      <c r="AHD122" s="91"/>
      <c r="AHE122" s="91"/>
      <c r="AHF122" s="91"/>
      <c r="AHG122" s="91"/>
      <c r="AHH122" s="91"/>
      <c r="AHI122" s="91"/>
      <c r="AHJ122" s="91"/>
      <c r="AHK122" s="91"/>
      <c r="AHL122" s="91"/>
      <c r="AHM122" s="91"/>
      <c r="AHN122" s="91"/>
      <c r="AHO122" s="91"/>
      <c r="AHP122" s="91"/>
      <c r="AHQ122" s="91"/>
      <c r="AHR122" s="91"/>
      <c r="AHS122" s="91"/>
      <c r="AHT122" s="91"/>
      <c r="AHU122" s="91"/>
      <c r="AHV122" s="91"/>
      <c r="AHW122" s="91"/>
      <c r="AHX122" s="91"/>
      <c r="AHY122" s="91"/>
      <c r="AHZ122" s="91"/>
      <c r="AIA122" s="91"/>
      <c r="AIB122" s="91"/>
      <c r="AIC122" s="91"/>
      <c r="AID122" s="91"/>
      <c r="AIE122" s="91"/>
      <c r="AIF122" s="91"/>
      <c r="AIG122" s="91"/>
      <c r="AIH122" s="91"/>
      <c r="AII122" s="91"/>
      <c r="AIJ122" s="91"/>
      <c r="AIK122" s="91"/>
      <c r="AIL122" s="91"/>
      <c r="AIM122" s="91"/>
      <c r="AIN122" s="91"/>
      <c r="AIO122" s="91"/>
      <c r="AIP122" s="91"/>
      <c r="AIQ122" s="91"/>
      <c r="AIR122" s="91"/>
      <c r="AIS122" s="91"/>
      <c r="AIT122" s="91"/>
      <c r="AIU122" s="91"/>
      <c r="AIV122" s="91"/>
      <c r="AIW122" s="91"/>
      <c r="AIX122" s="91"/>
      <c r="AIY122" s="91"/>
      <c r="AIZ122" s="91"/>
      <c r="AJA122" s="91"/>
      <c r="AJB122" s="91"/>
      <c r="AJC122" s="91"/>
      <c r="AJD122" s="91"/>
      <c r="AJE122" s="91"/>
      <c r="AJF122" s="91"/>
      <c r="AJG122" s="91"/>
      <c r="AJH122" s="91"/>
      <c r="AJI122" s="91"/>
      <c r="AJJ122" s="91"/>
      <c r="AJK122" s="91"/>
      <c r="AJL122" s="91"/>
      <c r="AJM122" s="91"/>
      <c r="AJN122" s="91"/>
      <c r="AJO122" s="91"/>
      <c r="AJP122" s="91"/>
      <c r="AJQ122" s="91"/>
      <c r="AJR122" s="91"/>
      <c r="AJS122" s="91"/>
      <c r="AJT122" s="91"/>
      <c r="AJU122" s="91"/>
      <c r="AJV122" s="91"/>
      <c r="AJW122" s="91"/>
      <c r="AJX122" s="91"/>
      <c r="AJY122" s="91"/>
      <c r="AJZ122" s="91"/>
      <c r="AKA122" s="91"/>
      <c r="AKB122" s="91"/>
      <c r="AKC122" s="91"/>
      <c r="AKD122" s="91"/>
      <c r="AKE122" s="91"/>
      <c r="AKF122" s="91"/>
      <c r="AKG122" s="91"/>
      <c r="AKH122" s="91"/>
      <c r="AKI122" s="91"/>
      <c r="AKJ122" s="91"/>
      <c r="AKK122" s="91"/>
      <c r="AKL122" s="91"/>
      <c r="AKM122" s="91"/>
      <c r="AKN122" s="91"/>
      <c r="AKO122" s="91"/>
      <c r="AKP122" s="91"/>
      <c r="AKQ122" s="91"/>
      <c r="AKR122" s="91"/>
      <c r="AKS122" s="91"/>
      <c r="AKT122" s="91"/>
      <c r="AKU122" s="91"/>
      <c r="AKV122" s="91"/>
      <c r="AKW122" s="91"/>
      <c r="AKX122" s="91"/>
      <c r="AKY122" s="91"/>
      <c r="AKZ122" s="91"/>
      <c r="ALA122" s="91"/>
      <c r="ALB122" s="91"/>
      <c r="ALC122" s="91"/>
      <c r="ALD122" s="91"/>
      <c r="ALE122" s="91"/>
      <c r="ALF122" s="91"/>
      <c r="ALG122" s="91"/>
      <c r="ALH122" s="91"/>
      <c r="ALI122" s="91"/>
      <c r="ALJ122" s="91"/>
      <c r="ALK122" s="91"/>
      <c r="ALL122" s="91"/>
      <c r="ALM122" s="91"/>
      <c r="ALN122" s="91"/>
      <c r="ALO122" s="91"/>
      <c r="ALP122" s="91"/>
      <c r="ALQ122" s="91"/>
      <c r="ALR122" s="91"/>
      <c r="ALS122" s="91"/>
      <c r="ALT122" s="91"/>
      <c r="ALU122" s="91"/>
      <c r="ALV122" s="91"/>
      <c r="ALW122" s="91"/>
      <c r="ALX122" s="91"/>
      <c r="ALY122" s="91"/>
      <c r="ALZ122" s="91"/>
      <c r="AMA122" s="91"/>
      <c r="AMB122" s="91"/>
      <c r="AMC122" s="91"/>
      <c r="AMD122" s="91"/>
      <c r="AME122" s="91"/>
      <c r="AMF122" s="91"/>
      <c r="AMG122" s="91"/>
      <c r="AMH122" s="91"/>
      <c r="AMI122" s="91"/>
      <c r="AMJ122" s="91"/>
      <c r="AMK122" s="91"/>
      <c r="AML122" s="91"/>
      <c r="AMM122" s="91"/>
      <c r="AMN122" s="91"/>
      <c r="AMO122" s="91"/>
      <c r="AMP122" s="91"/>
      <c r="AMQ122" s="91"/>
      <c r="AMR122" s="91"/>
      <c r="AMS122" s="91"/>
      <c r="AMT122" s="91"/>
      <c r="AMU122" s="91"/>
      <c r="AMV122" s="91"/>
      <c r="AMW122" s="91"/>
      <c r="AMX122" s="91"/>
    </row>
    <row r="123" spans="1:1038" s="96" customFormat="1" ht="42.2" customHeight="1" x14ac:dyDescent="0.4">
      <c r="A123" s="97"/>
      <c r="B123" s="117" t="s">
        <v>62</v>
      </c>
      <c r="C123" s="117"/>
      <c r="D123" s="117"/>
      <c r="E123" s="117"/>
      <c r="F123" s="117"/>
      <c r="G123" s="98"/>
      <c r="H123" s="99"/>
      <c r="I123" s="50"/>
      <c r="J123" s="119"/>
      <c r="K123" s="195"/>
      <c r="L123" s="118"/>
      <c r="M123" s="118"/>
      <c r="N123" s="67">
        <f>SUM(N121:N122)</f>
        <v>0</v>
      </c>
      <c r="O123" s="37">
        <f>SUM(O121:O122)</f>
        <v>0</v>
      </c>
      <c r="P123" s="37">
        <f>SUM(P121:P122)</f>
        <v>465980</v>
      </c>
      <c r="Q123" s="37">
        <f>SUM(Q121:Q122)</f>
        <v>0</v>
      </c>
      <c r="R123" s="36"/>
      <c r="S123" s="36"/>
      <c r="T123" s="102">
        <f>SUM(T121:T122)</f>
        <v>0</v>
      </c>
      <c r="U123" s="102">
        <f>SUM(U121:U122)</f>
        <v>0</v>
      </c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/>
      <c r="AO123" s="95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  <c r="BE123" s="95"/>
      <c r="BF123" s="95"/>
      <c r="BG123" s="95"/>
      <c r="BH123" s="95"/>
      <c r="BI123" s="95"/>
      <c r="BJ123" s="95"/>
      <c r="BK123" s="95"/>
      <c r="BL123" s="95"/>
      <c r="BM123" s="95"/>
      <c r="BN123" s="95"/>
      <c r="BO123" s="95"/>
      <c r="BP123" s="95"/>
      <c r="BQ123" s="95"/>
      <c r="BR123" s="95"/>
      <c r="BS123" s="95"/>
      <c r="BT123" s="95"/>
      <c r="BU123" s="95"/>
      <c r="BV123" s="95"/>
      <c r="BW123" s="95"/>
      <c r="BX123" s="95"/>
      <c r="BY123" s="95"/>
      <c r="BZ123" s="95"/>
      <c r="CA123" s="95"/>
      <c r="CB123" s="95"/>
      <c r="CC123" s="95"/>
      <c r="CD123" s="95"/>
      <c r="CE123" s="95"/>
      <c r="CF123" s="95"/>
      <c r="CG123" s="95"/>
      <c r="CH123" s="95"/>
      <c r="CI123" s="95"/>
      <c r="CJ123" s="95"/>
      <c r="CK123" s="95"/>
      <c r="CL123" s="95"/>
      <c r="CM123" s="95"/>
      <c r="CN123" s="95"/>
      <c r="CO123" s="95"/>
      <c r="CP123" s="95"/>
      <c r="CQ123" s="95"/>
      <c r="CR123" s="95"/>
      <c r="CS123" s="95"/>
      <c r="CT123" s="95"/>
      <c r="CU123" s="95"/>
      <c r="CV123" s="95"/>
      <c r="CW123" s="95"/>
      <c r="CX123" s="95"/>
      <c r="CY123" s="95"/>
      <c r="CZ123" s="95"/>
      <c r="DA123" s="95"/>
      <c r="DB123" s="95"/>
      <c r="DC123" s="95"/>
      <c r="DD123" s="95"/>
      <c r="DE123" s="95"/>
      <c r="DF123" s="95"/>
      <c r="DG123" s="95"/>
      <c r="DH123" s="95"/>
      <c r="DI123" s="95"/>
      <c r="DJ123" s="95"/>
      <c r="DK123" s="95"/>
      <c r="DL123" s="95"/>
      <c r="DM123" s="95"/>
      <c r="DN123" s="95"/>
      <c r="DO123" s="95"/>
      <c r="DP123" s="95"/>
      <c r="DQ123" s="95"/>
      <c r="DR123" s="95"/>
      <c r="DS123" s="95"/>
      <c r="DT123" s="95"/>
      <c r="DU123" s="95"/>
      <c r="DV123" s="95"/>
      <c r="DW123" s="95"/>
      <c r="DX123" s="95"/>
      <c r="DY123" s="95"/>
      <c r="DZ123" s="95"/>
      <c r="EA123" s="95"/>
      <c r="EB123" s="95"/>
      <c r="EC123" s="95"/>
      <c r="ED123" s="95"/>
      <c r="EE123" s="95"/>
      <c r="EF123" s="95"/>
      <c r="EG123" s="95"/>
      <c r="EH123" s="95"/>
      <c r="EI123" s="95"/>
      <c r="EJ123" s="95"/>
      <c r="EK123" s="95"/>
      <c r="EL123" s="95"/>
      <c r="EM123" s="95"/>
      <c r="EN123" s="95"/>
      <c r="EO123" s="95"/>
      <c r="EP123" s="95"/>
      <c r="EQ123" s="95"/>
      <c r="ER123" s="95"/>
      <c r="ES123" s="95"/>
      <c r="ET123" s="95"/>
      <c r="EU123" s="95"/>
      <c r="EV123" s="95"/>
      <c r="EW123" s="95"/>
      <c r="EX123" s="95"/>
      <c r="EY123" s="95"/>
      <c r="EZ123" s="95"/>
      <c r="FA123" s="95"/>
      <c r="FB123" s="95"/>
      <c r="FC123" s="95"/>
      <c r="FD123" s="95"/>
      <c r="FE123" s="95"/>
      <c r="FF123" s="95"/>
      <c r="FG123" s="95"/>
      <c r="FH123" s="95"/>
      <c r="FI123" s="95"/>
      <c r="FJ123" s="95"/>
      <c r="FK123" s="95"/>
      <c r="FL123" s="95"/>
      <c r="FM123" s="95"/>
      <c r="FN123" s="95"/>
      <c r="FO123" s="95"/>
      <c r="FP123" s="95"/>
      <c r="FQ123" s="95"/>
      <c r="FR123" s="95"/>
      <c r="FS123" s="95"/>
      <c r="FT123" s="95"/>
      <c r="FU123" s="95"/>
      <c r="FV123" s="95"/>
      <c r="FW123" s="95"/>
      <c r="FX123" s="95"/>
      <c r="FY123" s="95"/>
      <c r="FZ123" s="95"/>
      <c r="GA123" s="95"/>
      <c r="GB123" s="95"/>
      <c r="GC123" s="95"/>
      <c r="GD123" s="95"/>
      <c r="GE123" s="95"/>
      <c r="GF123" s="95"/>
      <c r="GG123" s="95"/>
      <c r="GH123" s="95"/>
      <c r="GI123" s="95"/>
      <c r="GJ123" s="95"/>
      <c r="GK123" s="95"/>
      <c r="GL123" s="95"/>
      <c r="GM123" s="95"/>
      <c r="GN123" s="95"/>
      <c r="GO123" s="95"/>
      <c r="GP123" s="95"/>
      <c r="GQ123" s="95"/>
      <c r="GR123" s="95"/>
      <c r="GS123" s="95"/>
      <c r="GT123" s="95"/>
      <c r="GU123" s="95"/>
      <c r="GV123" s="95"/>
      <c r="GW123" s="95"/>
      <c r="GX123" s="95"/>
      <c r="GY123" s="95"/>
      <c r="GZ123" s="95"/>
      <c r="HA123" s="95"/>
      <c r="HB123" s="95"/>
      <c r="HC123" s="95"/>
      <c r="HD123" s="95"/>
      <c r="HE123" s="95"/>
      <c r="HF123" s="95"/>
      <c r="HG123" s="95"/>
      <c r="HH123" s="95"/>
      <c r="HI123" s="95"/>
      <c r="HJ123" s="95"/>
      <c r="HK123" s="95"/>
      <c r="HL123" s="95"/>
      <c r="HM123" s="95"/>
      <c r="HN123" s="95"/>
      <c r="HO123" s="95"/>
      <c r="HP123" s="95"/>
      <c r="HQ123" s="95"/>
      <c r="HR123" s="95"/>
      <c r="HS123" s="95"/>
      <c r="HT123" s="95"/>
      <c r="HU123" s="95"/>
      <c r="HV123" s="95"/>
      <c r="HW123" s="95"/>
      <c r="HX123" s="95"/>
      <c r="HY123" s="95"/>
      <c r="HZ123" s="95"/>
      <c r="IA123" s="95"/>
      <c r="IB123" s="95"/>
      <c r="IC123" s="95"/>
      <c r="ID123" s="95"/>
      <c r="IE123" s="95"/>
      <c r="IF123" s="95"/>
      <c r="IG123" s="95"/>
      <c r="IH123" s="95"/>
      <c r="II123" s="95"/>
      <c r="IJ123" s="95"/>
      <c r="IK123" s="95"/>
      <c r="IL123" s="95"/>
      <c r="IM123" s="95"/>
      <c r="IN123" s="95"/>
      <c r="IO123" s="95"/>
      <c r="IP123" s="95"/>
      <c r="IQ123" s="95"/>
      <c r="IR123" s="95"/>
      <c r="IS123" s="95"/>
      <c r="IT123" s="95"/>
      <c r="IU123" s="95"/>
      <c r="IV123" s="95"/>
      <c r="IW123" s="95"/>
      <c r="IX123" s="95"/>
      <c r="IY123" s="95"/>
      <c r="IZ123" s="95"/>
      <c r="JA123" s="95"/>
      <c r="JB123" s="95"/>
      <c r="JC123" s="95"/>
      <c r="JD123" s="95"/>
      <c r="JE123" s="95"/>
      <c r="JF123" s="95"/>
      <c r="JG123" s="95"/>
      <c r="JH123" s="95"/>
      <c r="JI123" s="95"/>
      <c r="JJ123" s="95"/>
      <c r="JK123" s="95"/>
      <c r="JL123" s="95"/>
      <c r="JM123" s="95"/>
      <c r="JN123" s="95"/>
      <c r="JO123" s="95"/>
      <c r="JP123" s="95"/>
      <c r="JQ123" s="95"/>
      <c r="JR123" s="95"/>
      <c r="JS123" s="95"/>
      <c r="JT123" s="95"/>
      <c r="JU123" s="95"/>
      <c r="JV123" s="95"/>
      <c r="JW123" s="95"/>
      <c r="JX123" s="95"/>
      <c r="JY123" s="95"/>
      <c r="JZ123" s="95"/>
      <c r="KA123" s="95"/>
      <c r="KB123" s="95"/>
      <c r="KC123" s="95"/>
      <c r="KD123" s="95"/>
      <c r="KE123" s="95"/>
      <c r="KF123" s="95"/>
      <c r="KG123" s="95"/>
      <c r="KH123" s="95"/>
      <c r="KI123" s="95"/>
      <c r="KJ123" s="95"/>
      <c r="KK123" s="95"/>
      <c r="KL123" s="95"/>
      <c r="KM123" s="95"/>
      <c r="KN123" s="95"/>
      <c r="KO123" s="95"/>
      <c r="KP123" s="95"/>
      <c r="KQ123" s="95"/>
      <c r="KR123" s="95"/>
      <c r="KS123" s="95"/>
      <c r="KT123" s="95"/>
      <c r="KU123" s="95"/>
      <c r="KV123" s="95"/>
      <c r="KW123" s="95"/>
      <c r="KX123" s="95"/>
      <c r="KY123" s="95"/>
      <c r="KZ123" s="95"/>
      <c r="LA123" s="95"/>
      <c r="LB123" s="95"/>
      <c r="LC123" s="95"/>
      <c r="LD123" s="95"/>
      <c r="LE123" s="95"/>
      <c r="LF123" s="95"/>
      <c r="LG123" s="95"/>
      <c r="LH123" s="95"/>
      <c r="LI123" s="95"/>
      <c r="LJ123" s="95"/>
      <c r="LK123" s="95"/>
      <c r="LL123" s="95"/>
      <c r="LM123" s="95"/>
      <c r="LN123" s="95"/>
      <c r="LO123" s="95"/>
      <c r="LP123" s="95"/>
      <c r="LQ123" s="95"/>
      <c r="LR123" s="95"/>
      <c r="LS123" s="95"/>
      <c r="LT123" s="95"/>
      <c r="LU123" s="95"/>
      <c r="LV123" s="95"/>
      <c r="LW123" s="95"/>
      <c r="LX123" s="95"/>
      <c r="LY123" s="95"/>
      <c r="LZ123" s="95"/>
      <c r="MA123" s="95"/>
      <c r="MB123" s="95"/>
      <c r="MC123" s="95"/>
      <c r="MD123" s="95"/>
      <c r="ME123" s="95"/>
      <c r="MF123" s="95"/>
      <c r="MG123" s="95"/>
      <c r="MH123" s="95"/>
      <c r="MI123" s="95"/>
      <c r="MJ123" s="95"/>
      <c r="MK123" s="95"/>
      <c r="ML123" s="95"/>
      <c r="MM123" s="95"/>
      <c r="MN123" s="95"/>
      <c r="MO123" s="95"/>
      <c r="MP123" s="95"/>
      <c r="MQ123" s="95"/>
      <c r="MR123" s="95"/>
      <c r="MS123" s="95"/>
      <c r="MT123" s="95"/>
      <c r="MU123" s="95"/>
      <c r="MV123" s="95"/>
      <c r="MW123" s="95"/>
      <c r="MX123" s="95"/>
      <c r="MY123" s="95"/>
      <c r="MZ123" s="95"/>
      <c r="NA123" s="95"/>
      <c r="NB123" s="95"/>
      <c r="NC123" s="95"/>
      <c r="ND123" s="95"/>
      <c r="NE123" s="95"/>
      <c r="NF123" s="95"/>
      <c r="NG123" s="95"/>
      <c r="NH123" s="95"/>
      <c r="NI123" s="95"/>
      <c r="NJ123" s="95"/>
      <c r="NK123" s="95"/>
      <c r="NL123" s="95"/>
      <c r="NM123" s="95"/>
      <c r="NN123" s="95"/>
      <c r="NO123" s="95"/>
      <c r="NP123" s="95"/>
      <c r="NQ123" s="95"/>
      <c r="NR123" s="95"/>
      <c r="NS123" s="95"/>
      <c r="NT123" s="95"/>
      <c r="NU123" s="95"/>
      <c r="NV123" s="95"/>
      <c r="NW123" s="95"/>
      <c r="NX123" s="95"/>
      <c r="NY123" s="95"/>
      <c r="NZ123" s="95"/>
      <c r="OA123" s="95"/>
      <c r="OB123" s="95"/>
      <c r="OC123" s="95"/>
      <c r="OD123" s="95"/>
      <c r="OE123" s="95"/>
      <c r="OF123" s="95"/>
      <c r="OG123" s="95"/>
      <c r="OH123" s="95"/>
      <c r="OI123" s="95"/>
      <c r="OJ123" s="95"/>
      <c r="OK123" s="95"/>
      <c r="OL123" s="95"/>
      <c r="OM123" s="95"/>
      <c r="ON123" s="95"/>
      <c r="OO123" s="95"/>
      <c r="OP123" s="95"/>
      <c r="OQ123" s="95"/>
      <c r="OR123" s="95"/>
      <c r="OS123" s="95"/>
      <c r="OT123" s="95"/>
      <c r="OU123" s="95"/>
      <c r="OV123" s="95"/>
      <c r="OW123" s="95"/>
      <c r="OX123" s="95"/>
      <c r="OY123" s="95"/>
      <c r="OZ123" s="95"/>
      <c r="PA123" s="95"/>
      <c r="PB123" s="95"/>
      <c r="PC123" s="95"/>
      <c r="PD123" s="95"/>
      <c r="PE123" s="95"/>
      <c r="PF123" s="95"/>
      <c r="PG123" s="95"/>
      <c r="PH123" s="95"/>
      <c r="PI123" s="95"/>
      <c r="PJ123" s="95"/>
      <c r="PK123" s="95"/>
      <c r="PL123" s="95"/>
      <c r="PM123" s="95"/>
      <c r="PN123" s="95"/>
      <c r="PO123" s="95"/>
      <c r="PP123" s="95"/>
      <c r="PQ123" s="95"/>
      <c r="PR123" s="95"/>
      <c r="PS123" s="95"/>
      <c r="PT123" s="95"/>
      <c r="PU123" s="95"/>
      <c r="PV123" s="95"/>
      <c r="PW123" s="95"/>
      <c r="PX123" s="95"/>
      <c r="PY123" s="95"/>
      <c r="PZ123" s="95"/>
      <c r="QA123" s="95"/>
      <c r="QB123" s="95"/>
      <c r="QC123" s="95"/>
      <c r="QD123" s="95"/>
      <c r="QE123" s="95"/>
      <c r="QF123" s="95"/>
      <c r="QG123" s="95"/>
      <c r="QH123" s="95"/>
      <c r="QI123" s="95"/>
      <c r="QJ123" s="95"/>
      <c r="QK123" s="95"/>
      <c r="QL123" s="95"/>
      <c r="QM123" s="95"/>
      <c r="QN123" s="95"/>
      <c r="QO123" s="95"/>
      <c r="QP123" s="95"/>
      <c r="QQ123" s="95"/>
      <c r="QR123" s="95"/>
      <c r="QS123" s="95"/>
      <c r="QT123" s="95"/>
      <c r="QU123" s="95"/>
      <c r="QV123" s="95"/>
      <c r="QW123" s="95"/>
      <c r="QX123" s="95"/>
      <c r="QY123" s="95"/>
      <c r="QZ123" s="95"/>
      <c r="RA123" s="95"/>
      <c r="RB123" s="95"/>
      <c r="RC123" s="95"/>
      <c r="RD123" s="95"/>
      <c r="RE123" s="95"/>
      <c r="RF123" s="95"/>
      <c r="RG123" s="95"/>
      <c r="RH123" s="95"/>
      <c r="RI123" s="95"/>
      <c r="RJ123" s="95"/>
      <c r="RK123" s="95"/>
      <c r="RL123" s="95"/>
      <c r="RM123" s="95"/>
      <c r="RN123" s="95"/>
      <c r="RO123" s="95"/>
      <c r="RP123" s="95"/>
      <c r="RQ123" s="95"/>
      <c r="RR123" s="95"/>
      <c r="RS123" s="95"/>
      <c r="RT123" s="95"/>
      <c r="RU123" s="95"/>
      <c r="RV123" s="95"/>
      <c r="RW123" s="95"/>
      <c r="RX123" s="95"/>
      <c r="RY123" s="95"/>
      <c r="RZ123" s="95"/>
      <c r="SA123" s="95"/>
      <c r="SB123" s="95"/>
      <c r="SC123" s="95"/>
      <c r="SD123" s="95"/>
      <c r="SE123" s="95"/>
      <c r="SF123" s="95"/>
      <c r="SG123" s="95"/>
      <c r="SH123" s="95"/>
      <c r="SI123" s="95"/>
      <c r="SJ123" s="95"/>
      <c r="SK123" s="95"/>
      <c r="SL123" s="95"/>
      <c r="SM123" s="95"/>
      <c r="SN123" s="95"/>
      <c r="SO123" s="95"/>
      <c r="SP123" s="95"/>
      <c r="SQ123" s="95"/>
      <c r="SR123" s="95"/>
      <c r="SS123" s="95"/>
      <c r="ST123" s="95"/>
      <c r="SU123" s="95"/>
      <c r="SV123" s="95"/>
      <c r="SW123" s="95"/>
      <c r="SX123" s="95"/>
      <c r="SY123" s="95"/>
      <c r="SZ123" s="95"/>
      <c r="TA123" s="95"/>
      <c r="TB123" s="95"/>
      <c r="TC123" s="95"/>
      <c r="TD123" s="95"/>
      <c r="TE123" s="95"/>
      <c r="TF123" s="95"/>
      <c r="TG123" s="95"/>
      <c r="TH123" s="95"/>
      <c r="TI123" s="95"/>
      <c r="TJ123" s="95"/>
      <c r="TK123" s="95"/>
      <c r="TL123" s="95"/>
      <c r="TM123" s="95"/>
      <c r="TN123" s="95"/>
      <c r="TO123" s="95"/>
      <c r="TP123" s="95"/>
      <c r="TQ123" s="95"/>
      <c r="TR123" s="95"/>
      <c r="TS123" s="95"/>
      <c r="TT123" s="95"/>
      <c r="TU123" s="95"/>
      <c r="TV123" s="95"/>
      <c r="TW123" s="95"/>
      <c r="TX123" s="95"/>
      <c r="TY123" s="95"/>
      <c r="TZ123" s="95"/>
      <c r="UA123" s="95"/>
      <c r="UB123" s="95"/>
      <c r="UC123" s="95"/>
      <c r="UD123" s="95"/>
      <c r="UE123" s="95"/>
      <c r="UF123" s="95"/>
      <c r="UG123" s="95"/>
      <c r="UH123" s="95"/>
      <c r="UI123" s="95"/>
      <c r="UJ123" s="95"/>
      <c r="UK123" s="95"/>
      <c r="UL123" s="95"/>
      <c r="UM123" s="95"/>
      <c r="UN123" s="95"/>
      <c r="UO123" s="95"/>
      <c r="UP123" s="95"/>
      <c r="UQ123" s="95"/>
      <c r="UR123" s="95"/>
      <c r="US123" s="95"/>
      <c r="UT123" s="95"/>
      <c r="UU123" s="95"/>
      <c r="UV123" s="95"/>
      <c r="UW123" s="95"/>
      <c r="UX123" s="95"/>
      <c r="UY123" s="95"/>
      <c r="UZ123" s="95"/>
      <c r="VA123" s="95"/>
      <c r="VB123" s="95"/>
      <c r="VC123" s="95"/>
      <c r="VD123" s="95"/>
      <c r="VE123" s="95"/>
      <c r="VF123" s="95"/>
      <c r="VG123" s="95"/>
      <c r="VH123" s="95"/>
      <c r="VI123" s="95"/>
      <c r="VJ123" s="95"/>
      <c r="VK123" s="95"/>
      <c r="VL123" s="95"/>
      <c r="VM123" s="95"/>
      <c r="VN123" s="95"/>
      <c r="VO123" s="95"/>
      <c r="VP123" s="95"/>
      <c r="VQ123" s="95"/>
      <c r="VR123" s="95"/>
      <c r="VS123" s="95"/>
      <c r="VT123" s="95"/>
      <c r="VU123" s="95"/>
      <c r="VV123" s="95"/>
      <c r="VW123" s="95"/>
      <c r="VX123" s="95"/>
      <c r="VY123" s="95"/>
      <c r="VZ123" s="95"/>
      <c r="WA123" s="95"/>
      <c r="WB123" s="95"/>
      <c r="WC123" s="95"/>
      <c r="WD123" s="95"/>
      <c r="WE123" s="95"/>
      <c r="WF123" s="95"/>
      <c r="WG123" s="95"/>
      <c r="WH123" s="95"/>
      <c r="WI123" s="95"/>
      <c r="WJ123" s="95"/>
      <c r="WK123" s="95"/>
      <c r="WL123" s="95"/>
      <c r="WM123" s="95"/>
      <c r="WN123" s="95"/>
      <c r="WO123" s="95"/>
      <c r="WP123" s="95"/>
      <c r="WQ123" s="95"/>
      <c r="WR123" s="95"/>
      <c r="WS123" s="95"/>
      <c r="WT123" s="95"/>
      <c r="WU123" s="95"/>
      <c r="WV123" s="95"/>
      <c r="WW123" s="95"/>
      <c r="WX123" s="95"/>
      <c r="WY123" s="95"/>
      <c r="WZ123" s="95"/>
      <c r="XA123" s="95"/>
      <c r="XB123" s="95"/>
      <c r="XC123" s="95"/>
      <c r="XD123" s="95"/>
      <c r="XE123" s="95"/>
      <c r="XF123" s="95"/>
      <c r="XG123" s="95"/>
      <c r="XH123" s="95"/>
      <c r="XI123" s="95"/>
      <c r="XJ123" s="95"/>
      <c r="XK123" s="95"/>
      <c r="XL123" s="95"/>
      <c r="XM123" s="95"/>
      <c r="XN123" s="95"/>
      <c r="XO123" s="95"/>
      <c r="XP123" s="95"/>
      <c r="XQ123" s="95"/>
      <c r="XR123" s="95"/>
      <c r="XS123" s="95"/>
      <c r="XT123" s="95"/>
      <c r="XU123" s="95"/>
      <c r="XV123" s="95"/>
      <c r="XW123" s="95"/>
      <c r="XX123" s="95"/>
      <c r="XY123" s="95"/>
      <c r="XZ123" s="95"/>
      <c r="YA123" s="95"/>
      <c r="YB123" s="95"/>
      <c r="YC123" s="95"/>
      <c r="YD123" s="95"/>
      <c r="YE123" s="95"/>
      <c r="YF123" s="95"/>
      <c r="YG123" s="95"/>
      <c r="YH123" s="95"/>
      <c r="YI123" s="95"/>
      <c r="YJ123" s="95"/>
      <c r="YK123" s="95"/>
      <c r="YL123" s="95"/>
      <c r="YM123" s="95"/>
      <c r="YN123" s="95"/>
      <c r="YO123" s="95"/>
      <c r="YP123" s="95"/>
      <c r="YQ123" s="95"/>
      <c r="YR123" s="95"/>
      <c r="YS123" s="95"/>
      <c r="YT123" s="95"/>
      <c r="YU123" s="95"/>
      <c r="YV123" s="95"/>
      <c r="YW123" s="95"/>
      <c r="YX123" s="95"/>
      <c r="YY123" s="95"/>
      <c r="YZ123" s="95"/>
      <c r="ZA123" s="95"/>
      <c r="ZB123" s="95"/>
      <c r="ZC123" s="95"/>
      <c r="ZD123" s="95"/>
      <c r="ZE123" s="95"/>
      <c r="ZF123" s="95"/>
      <c r="ZG123" s="95"/>
      <c r="ZH123" s="95"/>
      <c r="ZI123" s="95"/>
      <c r="ZJ123" s="95"/>
      <c r="ZK123" s="95"/>
      <c r="ZL123" s="95"/>
      <c r="ZM123" s="95"/>
      <c r="ZN123" s="95"/>
      <c r="ZO123" s="95"/>
      <c r="ZP123" s="95"/>
      <c r="ZQ123" s="95"/>
      <c r="ZR123" s="95"/>
      <c r="ZS123" s="95"/>
      <c r="ZT123" s="95"/>
      <c r="ZU123" s="95"/>
      <c r="ZV123" s="95"/>
      <c r="ZW123" s="95"/>
      <c r="ZX123" s="95"/>
      <c r="ZY123" s="95"/>
      <c r="ZZ123" s="95"/>
      <c r="AAA123" s="95"/>
      <c r="AAB123" s="95"/>
      <c r="AAC123" s="95"/>
      <c r="AAD123" s="95"/>
      <c r="AAE123" s="95"/>
      <c r="AAF123" s="95"/>
      <c r="AAG123" s="95"/>
      <c r="AAH123" s="95"/>
      <c r="AAI123" s="95"/>
      <c r="AAJ123" s="95"/>
      <c r="AAK123" s="95"/>
      <c r="AAL123" s="95"/>
      <c r="AAM123" s="95"/>
      <c r="AAN123" s="95"/>
      <c r="AAO123" s="95"/>
      <c r="AAP123" s="95"/>
      <c r="AAQ123" s="95"/>
      <c r="AAR123" s="95"/>
      <c r="AAS123" s="95"/>
      <c r="AAT123" s="95"/>
      <c r="AAU123" s="95"/>
      <c r="AAV123" s="95"/>
      <c r="AAW123" s="95"/>
      <c r="AAX123" s="95"/>
      <c r="AAY123" s="95"/>
      <c r="AAZ123" s="95"/>
      <c r="ABA123" s="95"/>
      <c r="ABB123" s="95"/>
      <c r="ABC123" s="95"/>
      <c r="ABD123" s="95"/>
      <c r="ABE123" s="95"/>
      <c r="ABF123" s="95"/>
      <c r="ABG123" s="95"/>
      <c r="ABH123" s="95"/>
      <c r="ABI123" s="95"/>
      <c r="ABJ123" s="95"/>
      <c r="ABK123" s="95"/>
      <c r="ABL123" s="95"/>
      <c r="ABM123" s="95"/>
      <c r="ABN123" s="95"/>
      <c r="ABO123" s="95"/>
      <c r="ABP123" s="95"/>
      <c r="ABQ123" s="95"/>
      <c r="ABR123" s="95"/>
      <c r="ABS123" s="95"/>
      <c r="ABT123" s="95"/>
      <c r="ABU123" s="95"/>
      <c r="ABV123" s="95"/>
      <c r="ABW123" s="95"/>
      <c r="ABX123" s="95"/>
      <c r="ABY123" s="95"/>
      <c r="ABZ123" s="95"/>
      <c r="ACA123" s="95"/>
      <c r="ACB123" s="95"/>
      <c r="ACC123" s="95"/>
      <c r="ACD123" s="95"/>
      <c r="ACE123" s="95"/>
      <c r="ACF123" s="95"/>
      <c r="ACG123" s="95"/>
      <c r="ACH123" s="95"/>
      <c r="ACI123" s="95"/>
      <c r="ACJ123" s="95"/>
      <c r="ACK123" s="95"/>
      <c r="ACL123" s="95"/>
      <c r="ACM123" s="95"/>
      <c r="ACN123" s="95"/>
      <c r="ACO123" s="95"/>
      <c r="ACP123" s="95"/>
      <c r="ACQ123" s="95"/>
      <c r="ACR123" s="95"/>
      <c r="ACS123" s="95"/>
      <c r="ACT123" s="95"/>
      <c r="ACU123" s="95"/>
      <c r="ACV123" s="95"/>
      <c r="ACW123" s="95"/>
      <c r="ACX123" s="95"/>
      <c r="ACY123" s="95"/>
      <c r="ACZ123" s="95"/>
      <c r="ADA123" s="95"/>
      <c r="ADB123" s="95"/>
      <c r="ADC123" s="95"/>
      <c r="ADD123" s="95"/>
      <c r="ADE123" s="95"/>
      <c r="ADF123" s="95"/>
      <c r="ADG123" s="95"/>
      <c r="ADH123" s="95"/>
      <c r="ADI123" s="95"/>
      <c r="ADJ123" s="95"/>
      <c r="ADK123" s="95"/>
      <c r="ADL123" s="95"/>
      <c r="ADM123" s="95"/>
      <c r="ADN123" s="95"/>
      <c r="ADO123" s="95"/>
      <c r="ADP123" s="95"/>
      <c r="ADQ123" s="95"/>
      <c r="ADR123" s="95"/>
      <c r="ADS123" s="95"/>
      <c r="ADT123" s="95"/>
      <c r="ADU123" s="95"/>
      <c r="ADV123" s="95"/>
      <c r="ADW123" s="95"/>
      <c r="ADX123" s="95"/>
      <c r="ADY123" s="95"/>
      <c r="ADZ123" s="95"/>
      <c r="AEA123" s="95"/>
      <c r="AEB123" s="95"/>
      <c r="AEC123" s="95"/>
      <c r="AED123" s="95"/>
      <c r="AEE123" s="95"/>
      <c r="AEF123" s="95"/>
      <c r="AEG123" s="95"/>
      <c r="AEH123" s="95"/>
      <c r="AEI123" s="95"/>
      <c r="AEJ123" s="95"/>
      <c r="AEK123" s="95"/>
      <c r="AEL123" s="95"/>
      <c r="AEM123" s="95"/>
      <c r="AEN123" s="95"/>
      <c r="AEO123" s="95"/>
      <c r="AEP123" s="95"/>
      <c r="AEQ123" s="95"/>
      <c r="AER123" s="95"/>
      <c r="AES123" s="95"/>
      <c r="AET123" s="95"/>
      <c r="AEU123" s="95"/>
      <c r="AEV123" s="95"/>
      <c r="AEW123" s="95"/>
      <c r="AEX123" s="95"/>
      <c r="AEY123" s="95"/>
      <c r="AEZ123" s="95"/>
      <c r="AFA123" s="95"/>
      <c r="AFB123" s="95"/>
      <c r="AFC123" s="95"/>
      <c r="AFD123" s="95"/>
      <c r="AFE123" s="95"/>
      <c r="AFF123" s="95"/>
      <c r="AFG123" s="95"/>
      <c r="AFH123" s="95"/>
      <c r="AFI123" s="95"/>
      <c r="AFJ123" s="95"/>
      <c r="AFK123" s="95"/>
      <c r="AFL123" s="95"/>
      <c r="AFM123" s="95"/>
      <c r="AFN123" s="95"/>
      <c r="AFO123" s="95"/>
      <c r="AFP123" s="95"/>
      <c r="AFQ123" s="95"/>
      <c r="AFR123" s="95"/>
      <c r="AFS123" s="95"/>
      <c r="AFT123" s="95"/>
      <c r="AFU123" s="95"/>
      <c r="AFV123" s="95"/>
      <c r="AFW123" s="95"/>
      <c r="AFX123" s="95"/>
      <c r="AFY123" s="95"/>
      <c r="AFZ123" s="95"/>
      <c r="AGA123" s="95"/>
      <c r="AGB123" s="95"/>
      <c r="AGC123" s="95"/>
      <c r="AGD123" s="95"/>
      <c r="AGE123" s="95"/>
      <c r="AGF123" s="95"/>
      <c r="AGG123" s="95"/>
      <c r="AGH123" s="95"/>
      <c r="AGI123" s="95"/>
      <c r="AGJ123" s="95"/>
      <c r="AGK123" s="95"/>
      <c r="AGL123" s="95"/>
      <c r="AGM123" s="95"/>
      <c r="AGN123" s="95"/>
      <c r="AGO123" s="95"/>
      <c r="AGP123" s="95"/>
      <c r="AGQ123" s="95"/>
      <c r="AGR123" s="95"/>
      <c r="AGS123" s="95"/>
      <c r="AGT123" s="95"/>
      <c r="AGU123" s="95"/>
      <c r="AGV123" s="95"/>
      <c r="AGW123" s="95"/>
      <c r="AGX123" s="95"/>
      <c r="AGY123" s="95"/>
      <c r="AGZ123" s="95"/>
      <c r="AHA123" s="95"/>
      <c r="AHB123" s="95"/>
      <c r="AHC123" s="95"/>
      <c r="AHD123" s="95"/>
      <c r="AHE123" s="95"/>
      <c r="AHF123" s="95"/>
      <c r="AHG123" s="95"/>
      <c r="AHH123" s="95"/>
      <c r="AHI123" s="95"/>
      <c r="AHJ123" s="95"/>
      <c r="AHK123" s="95"/>
      <c r="AHL123" s="95"/>
      <c r="AHM123" s="95"/>
      <c r="AHN123" s="95"/>
      <c r="AHO123" s="95"/>
      <c r="AHP123" s="95"/>
      <c r="AHQ123" s="95"/>
      <c r="AHR123" s="95"/>
      <c r="AHS123" s="95"/>
      <c r="AHT123" s="95"/>
      <c r="AHU123" s="95"/>
      <c r="AHV123" s="95"/>
      <c r="AHW123" s="95"/>
      <c r="AHX123" s="95"/>
      <c r="AHY123" s="95"/>
      <c r="AHZ123" s="95"/>
      <c r="AIA123" s="95"/>
      <c r="AIB123" s="95"/>
      <c r="AIC123" s="95"/>
      <c r="AID123" s="95"/>
      <c r="AIE123" s="95"/>
      <c r="AIF123" s="95"/>
      <c r="AIG123" s="95"/>
      <c r="AIH123" s="95"/>
      <c r="AII123" s="95"/>
      <c r="AIJ123" s="95"/>
      <c r="AIK123" s="95"/>
      <c r="AIL123" s="95"/>
      <c r="AIM123" s="95"/>
      <c r="AIN123" s="95"/>
      <c r="AIO123" s="95"/>
      <c r="AIP123" s="95"/>
      <c r="AIQ123" s="95"/>
      <c r="AIR123" s="95"/>
      <c r="AIS123" s="95"/>
      <c r="AIT123" s="95"/>
      <c r="AIU123" s="95"/>
      <c r="AIV123" s="95"/>
      <c r="AIW123" s="95"/>
      <c r="AIX123" s="95"/>
      <c r="AIY123" s="95"/>
      <c r="AIZ123" s="95"/>
      <c r="AJA123" s="95"/>
      <c r="AJB123" s="95"/>
      <c r="AJC123" s="95"/>
      <c r="AJD123" s="95"/>
      <c r="AJE123" s="95"/>
      <c r="AJF123" s="95"/>
      <c r="AJG123" s="95"/>
      <c r="AJH123" s="95"/>
      <c r="AJI123" s="95"/>
      <c r="AJJ123" s="95"/>
      <c r="AJK123" s="95"/>
      <c r="AJL123" s="95"/>
      <c r="AJM123" s="95"/>
      <c r="AJN123" s="95"/>
      <c r="AJO123" s="95"/>
      <c r="AJP123" s="95"/>
      <c r="AJQ123" s="95"/>
      <c r="AJR123" s="95"/>
      <c r="AJS123" s="95"/>
      <c r="AJT123" s="95"/>
      <c r="AJU123" s="95"/>
      <c r="AJV123" s="95"/>
      <c r="AJW123" s="95"/>
      <c r="AJX123" s="95"/>
      <c r="AJY123" s="95"/>
      <c r="AJZ123" s="95"/>
      <c r="AKA123" s="95"/>
      <c r="AKB123" s="95"/>
      <c r="AKC123" s="95"/>
      <c r="AKD123" s="95"/>
      <c r="AKE123" s="95"/>
      <c r="AKF123" s="95"/>
      <c r="AKG123" s="95"/>
      <c r="AKH123" s="95"/>
      <c r="AKI123" s="95"/>
      <c r="AKJ123" s="95"/>
      <c r="AKK123" s="95"/>
      <c r="AKL123" s="95"/>
      <c r="AKM123" s="95"/>
      <c r="AKN123" s="95"/>
      <c r="AKO123" s="95"/>
      <c r="AKP123" s="95"/>
      <c r="AKQ123" s="95"/>
      <c r="AKR123" s="95"/>
      <c r="AKS123" s="95"/>
      <c r="AKT123" s="95"/>
      <c r="AKU123" s="95"/>
      <c r="AKV123" s="95"/>
      <c r="AKW123" s="95"/>
      <c r="AKX123" s="95"/>
      <c r="AKY123" s="95"/>
      <c r="AKZ123" s="95"/>
      <c r="ALA123" s="95"/>
      <c r="ALB123" s="95"/>
      <c r="ALC123" s="95"/>
      <c r="ALD123" s="95"/>
      <c r="ALE123" s="95"/>
      <c r="ALF123" s="95"/>
      <c r="ALG123" s="95"/>
      <c r="ALH123" s="95"/>
      <c r="ALI123" s="95"/>
      <c r="ALJ123" s="95"/>
      <c r="ALK123" s="95"/>
      <c r="ALL123" s="95"/>
      <c r="ALM123" s="95"/>
      <c r="ALN123" s="95"/>
      <c r="ALO123" s="95"/>
      <c r="ALP123" s="95"/>
      <c r="ALQ123" s="95"/>
      <c r="ALR123" s="95"/>
      <c r="ALS123" s="95"/>
      <c r="ALT123" s="95"/>
      <c r="ALU123" s="95"/>
      <c r="ALV123" s="95"/>
      <c r="ALW123" s="95"/>
      <c r="ALX123" s="95"/>
      <c r="ALY123" s="95"/>
      <c r="ALZ123" s="95"/>
      <c r="AMA123" s="95"/>
      <c r="AMB123" s="95"/>
      <c r="AMC123" s="95"/>
      <c r="AMD123" s="95"/>
      <c r="AME123" s="95"/>
      <c r="AMF123" s="95"/>
      <c r="AMG123" s="95"/>
      <c r="AMH123" s="95"/>
      <c r="AMI123" s="95"/>
      <c r="AMJ123" s="95"/>
      <c r="AMK123" s="95"/>
      <c r="AML123" s="95"/>
      <c r="AMM123" s="95"/>
      <c r="AMN123" s="95"/>
      <c r="AMO123" s="95"/>
      <c r="AMP123" s="95"/>
      <c r="AMQ123" s="95"/>
      <c r="AMR123" s="95"/>
      <c r="AMS123" s="95"/>
      <c r="AMT123" s="95"/>
      <c r="AMU123" s="95"/>
      <c r="AMV123" s="95"/>
      <c r="AMW123" s="95"/>
      <c r="AMX123" s="95"/>
    </row>
    <row r="124" spans="1:1038" s="6" customFormat="1" ht="27.4" customHeight="1" x14ac:dyDescent="0.2">
      <c r="A124" s="121"/>
      <c r="B124" s="122"/>
      <c r="C124" s="122"/>
      <c r="D124" s="122"/>
      <c r="E124" s="122"/>
      <c r="F124" s="122"/>
      <c r="G124" s="123"/>
      <c r="H124" s="124"/>
      <c r="I124" s="115"/>
      <c r="J124" s="125"/>
      <c r="K124" s="196"/>
      <c r="L124" s="42"/>
      <c r="M124" s="42"/>
      <c r="N124" s="209"/>
      <c r="O124" s="127"/>
      <c r="P124" s="126"/>
      <c r="Q124" s="127"/>
      <c r="R124" s="126"/>
      <c r="S124" s="127"/>
      <c r="T124" s="128"/>
      <c r="U124" s="121"/>
      <c r="V124" s="89"/>
      <c r="W124" s="89"/>
      <c r="X124" s="89"/>
      <c r="Y124" s="89"/>
      <c r="Z124" s="89"/>
      <c r="AA124" s="89"/>
      <c r="AB124" s="89"/>
      <c r="AC124" s="89"/>
      <c r="AD124" s="89"/>
      <c r="AE124" s="89"/>
      <c r="AF124" s="89"/>
      <c r="AG124" s="89"/>
      <c r="AH124" s="89"/>
      <c r="AI124" s="89"/>
      <c r="AJ124" s="89"/>
      <c r="AK124" s="89"/>
      <c r="AL124" s="89"/>
      <c r="AM124" s="89"/>
      <c r="AN124" s="89"/>
      <c r="AO124" s="89"/>
      <c r="AP124" s="89"/>
      <c r="AQ124" s="89"/>
      <c r="AR124" s="89"/>
      <c r="AS124" s="89"/>
      <c r="AT124" s="89"/>
      <c r="AU124" s="89"/>
      <c r="AV124" s="89"/>
      <c r="AW124" s="89"/>
      <c r="AX124" s="89"/>
      <c r="AY124" s="89"/>
      <c r="AZ124" s="89"/>
      <c r="BA124" s="89"/>
      <c r="BB124" s="89"/>
      <c r="BC124" s="89"/>
      <c r="BD124" s="89"/>
      <c r="BE124" s="89"/>
      <c r="BF124" s="89"/>
      <c r="BG124" s="89"/>
      <c r="BH124" s="89"/>
      <c r="BI124" s="89"/>
      <c r="BJ124" s="89"/>
      <c r="BK124" s="89"/>
      <c r="BL124" s="89"/>
      <c r="BM124" s="89"/>
      <c r="BN124" s="89"/>
      <c r="BO124" s="89"/>
      <c r="BP124" s="89"/>
      <c r="BQ124" s="89"/>
      <c r="BR124" s="89"/>
      <c r="BS124" s="89"/>
      <c r="BT124" s="89"/>
      <c r="BU124" s="89"/>
      <c r="BV124" s="89"/>
      <c r="BW124" s="89"/>
      <c r="BX124" s="89"/>
      <c r="BY124" s="89"/>
      <c r="BZ124" s="89"/>
      <c r="CA124" s="89"/>
      <c r="CB124" s="89"/>
      <c r="CC124" s="89"/>
      <c r="CD124" s="89"/>
      <c r="CE124" s="89"/>
      <c r="CF124" s="89"/>
      <c r="CG124" s="89"/>
      <c r="CH124" s="89"/>
      <c r="CI124" s="89"/>
      <c r="CJ124" s="89"/>
      <c r="CK124" s="89"/>
      <c r="CL124" s="89"/>
      <c r="CM124" s="89"/>
      <c r="CN124" s="89"/>
      <c r="CO124" s="89"/>
      <c r="CP124" s="89"/>
      <c r="CQ124" s="89"/>
      <c r="CR124" s="89"/>
      <c r="CS124" s="89"/>
      <c r="CT124" s="89"/>
      <c r="CU124" s="89"/>
      <c r="CV124" s="89"/>
      <c r="CW124" s="89"/>
      <c r="CX124" s="89"/>
      <c r="CY124" s="89"/>
      <c r="CZ124" s="89"/>
      <c r="DA124" s="89"/>
      <c r="DB124" s="89"/>
      <c r="DC124" s="89"/>
      <c r="DD124" s="89"/>
      <c r="DE124" s="89"/>
      <c r="DF124" s="89"/>
      <c r="DG124" s="89"/>
      <c r="DH124" s="89"/>
      <c r="DI124" s="89"/>
      <c r="DJ124" s="89"/>
      <c r="DK124" s="89"/>
      <c r="DL124" s="89"/>
      <c r="DM124" s="89"/>
      <c r="DN124" s="89"/>
      <c r="DO124" s="89"/>
      <c r="DP124" s="89"/>
      <c r="DQ124" s="89"/>
      <c r="DR124" s="89"/>
      <c r="DS124" s="89"/>
      <c r="DT124" s="89"/>
      <c r="DU124" s="89"/>
      <c r="DV124" s="89"/>
      <c r="DW124" s="89"/>
      <c r="DX124" s="89"/>
      <c r="DY124" s="89"/>
      <c r="DZ124" s="89"/>
      <c r="EA124" s="89"/>
      <c r="EB124" s="89"/>
      <c r="EC124" s="89"/>
      <c r="ED124" s="89"/>
      <c r="EE124" s="89"/>
      <c r="EF124" s="89"/>
      <c r="EG124" s="89"/>
      <c r="EH124" s="89"/>
      <c r="EI124" s="89"/>
      <c r="EJ124" s="89"/>
      <c r="EK124" s="89"/>
      <c r="EL124" s="89"/>
      <c r="EM124" s="89"/>
      <c r="EN124" s="89"/>
      <c r="EO124" s="89"/>
      <c r="EP124" s="89"/>
      <c r="EQ124" s="89"/>
      <c r="ER124" s="89"/>
      <c r="ES124" s="89"/>
      <c r="ET124" s="89"/>
      <c r="EU124" s="89"/>
      <c r="EV124" s="89"/>
      <c r="EW124" s="89"/>
      <c r="EX124" s="89"/>
      <c r="EY124" s="89"/>
      <c r="EZ124" s="89"/>
      <c r="FA124" s="89"/>
      <c r="FB124" s="89"/>
      <c r="FC124" s="89"/>
      <c r="FD124" s="89"/>
      <c r="FE124" s="89"/>
      <c r="FF124" s="89"/>
      <c r="FG124" s="89"/>
      <c r="FH124" s="89"/>
      <c r="FI124" s="89"/>
      <c r="FJ124" s="89"/>
      <c r="FK124" s="89"/>
      <c r="FL124" s="89"/>
      <c r="FM124" s="89"/>
      <c r="FN124" s="89"/>
      <c r="FO124" s="89"/>
      <c r="FP124" s="89"/>
      <c r="FQ124" s="89"/>
      <c r="FR124" s="89"/>
      <c r="FS124" s="89"/>
      <c r="FT124" s="89"/>
      <c r="FU124" s="89"/>
      <c r="FV124" s="89"/>
      <c r="FW124" s="89"/>
      <c r="FX124" s="89"/>
      <c r="FY124" s="89"/>
      <c r="FZ124" s="89"/>
      <c r="GA124" s="89"/>
      <c r="GB124" s="89"/>
      <c r="GC124" s="89"/>
      <c r="GD124" s="89"/>
      <c r="GE124" s="89"/>
      <c r="GF124" s="89"/>
      <c r="GG124" s="89"/>
      <c r="GH124" s="89"/>
      <c r="GI124" s="89"/>
      <c r="GJ124" s="89"/>
      <c r="GK124" s="89"/>
      <c r="GL124" s="89"/>
      <c r="GM124" s="89"/>
      <c r="GN124" s="89"/>
      <c r="GO124" s="89"/>
      <c r="GP124" s="89"/>
      <c r="GQ124" s="89"/>
      <c r="GR124" s="89"/>
      <c r="GS124" s="89"/>
      <c r="GT124" s="89"/>
      <c r="GU124" s="89"/>
      <c r="GV124" s="89"/>
      <c r="GW124" s="89"/>
      <c r="GX124" s="89"/>
      <c r="GY124" s="89"/>
      <c r="GZ124" s="89"/>
      <c r="HA124" s="89"/>
      <c r="HB124" s="89"/>
      <c r="HC124" s="89"/>
      <c r="HD124" s="89"/>
      <c r="HE124" s="89"/>
      <c r="HF124" s="89"/>
      <c r="HG124" s="89"/>
      <c r="HH124" s="89"/>
      <c r="HI124" s="89"/>
      <c r="HJ124" s="89"/>
      <c r="HK124" s="89"/>
      <c r="HL124" s="89"/>
      <c r="HM124" s="89"/>
      <c r="HN124" s="89"/>
      <c r="HO124" s="89"/>
      <c r="HP124" s="89"/>
      <c r="HQ124" s="89"/>
      <c r="HR124" s="89"/>
      <c r="HS124" s="89"/>
      <c r="HT124" s="89"/>
      <c r="HU124" s="89"/>
      <c r="HV124" s="89"/>
      <c r="HW124" s="89"/>
      <c r="HX124" s="89"/>
      <c r="HY124" s="89"/>
      <c r="HZ124" s="89"/>
      <c r="IA124" s="89"/>
      <c r="IB124" s="89"/>
      <c r="IC124" s="89"/>
      <c r="ID124" s="89"/>
      <c r="IE124" s="89"/>
      <c r="IF124" s="89"/>
      <c r="IG124" s="89"/>
      <c r="IH124" s="89"/>
      <c r="II124" s="89"/>
      <c r="IJ124" s="89"/>
      <c r="IK124" s="89"/>
      <c r="IL124" s="89"/>
      <c r="IM124" s="89"/>
      <c r="IN124" s="89"/>
      <c r="IO124" s="89"/>
      <c r="IP124" s="89"/>
      <c r="IQ124" s="89"/>
      <c r="IR124" s="89"/>
      <c r="IS124" s="89"/>
      <c r="IT124" s="89"/>
      <c r="IU124" s="89"/>
      <c r="IV124" s="89"/>
      <c r="IW124" s="89"/>
      <c r="IX124" s="89"/>
      <c r="IY124" s="89"/>
      <c r="IZ124" s="89"/>
      <c r="JA124" s="89"/>
      <c r="JB124" s="89"/>
      <c r="JC124" s="89"/>
      <c r="JD124" s="89"/>
      <c r="JE124" s="89"/>
      <c r="JF124" s="89"/>
      <c r="JG124" s="89"/>
      <c r="JH124" s="89"/>
      <c r="JI124" s="89"/>
      <c r="JJ124" s="89"/>
      <c r="JK124" s="89"/>
      <c r="JL124" s="89"/>
      <c r="JM124" s="89"/>
      <c r="JN124" s="89"/>
      <c r="JO124" s="89"/>
      <c r="JP124" s="89"/>
      <c r="JQ124" s="89"/>
      <c r="JR124" s="89"/>
      <c r="JS124" s="89"/>
      <c r="JT124" s="89"/>
      <c r="JU124" s="89"/>
      <c r="JV124" s="89"/>
      <c r="JW124" s="89"/>
      <c r="JX124" s="89"/>
      <c r="JY124" s="89"/>
      <c r="JZ124" s="89"/>
      <c r="KA124" s="89"/>
      <c r="KB124" s="89"/>
      <c r="KC124" s="89"/>
      <c r="KD124" s="89"/>
      <c r="KE124" s="89"/>
      <c r="KF124" s="89"/>
      <c r="KG124" s="89"/>
      <c r="KH124" s="89"/>
      <c r="KI124" s="89"/>
      <c r="KJ124" s="89"/>
      <c r="KK124" s="89"/>
      <c r="KL124" s="89"/>
      <c r="KM124" s="89"/>
      <c r="KN124" s="89"/>
      <c r="KO124" s="89"/>
      <c r="KP124" s="89"/>
      <c r="KQ124" s="89"/>
      <c r="KR124" s="89"/>
      <c r="KS124" s="89"/>
      <c r="KT124" s="89"/>
      <c r="KU124" s="89"/>
      <c r="KV124" s="89"/>
      <c r="KW124" s="89"/>
      <c r="KX124" s="89"/>
      <c r="KY124" s="89"/>
      <c r="KZ124" s="89"/>
      <c r="LA124" s="89"/>
      <c r="LB124" s="89"/>
      <c r="LC124" s="89"/>
      <c r="LD124" s="89"/>
      <c r="LE124" s="89"/>
      <c r="LF124" s="89"/>
      <c r="LG124" s="89"/>
      <c r="LH124" s="89"/>
      <c r="LI124" s="89"/>
      <c r="LJ124" s="89"/>
      <c r="LK124" s="89"/>
      <c r="LL124" s="89"/>
      <c r="LM124" s="89"/>
      <c r="LN124" s="89"/>
      <c r="LO124" s="89"/>
      <c r="LP124" s="89"/>
      <c r="LQ124" s="89"/>
      <c r="LR124" s="89"/>
      <c r="LS124" s="89"/>
      <c r="LT124" s="89"/>
      <c r="LU124" s="89"/>
      <c r="LV124" s="89"/>
      <c r="LW124" s="89"/>
      <c r="LX124" s="89"/>
      <c r="LY124" s="89"/>
      <c r="LZ124" s="89"/>
      <c r="MA124" s="89"/>
      <c r="MB124" s="89"/>
      <c r="MC124" s="89"/>
      <c r="MD124" s="89"/>
      <c r="ME124" s="89"/>
      <c r="MF124" s="89"/>
      <c r="MG124" s="89"/>
      <c r="MH124" s="89"/>
      <c r="MI124" s="89"/>
      <c r="MJ124" s="89"/>
      <c r="MK124" s="89"/>
      <c r="ML124" s="89"/>
      <c r="MM124" s="89"/>
      <c r="MN124" s="89"/>
      <c r="MO124" s="89"/>
      <c r="MP124" s="89"/>
      <c r="MQ124" s="89"/>
      <c r="MR124" s="89"/>
      <c r="MS124" s="89"/>
      <c r="MT124" s="89"/>
      <c r="MU124" s="89"/>
      <c r="MV124" s="89"/>
      <c r="MW124" s="89"/>
      <c r="MX124" s="89"/>
      <c r="MY124" s="89"/>
      <c r="MZ124" s="89"/>
      <c r="NA124" s="89"/>
      <c r="NB124" s="89"/>
      <c r="NC124" s="89"/>
      <c r="ND124" s="89"/>
      <c r="NE124" s="89"/>
      <c r="NF124" s="89"/>
      <c r="NG124" s="89"/>
      <c r="NH124" s="89"/>
      <c r="NI124" s="89"/>
      <c r="NJ124" s="89"/>
      <c r="NK124" s="89"/>
      <c r="NL124" s="89"/>
      <c r="NM124" s="89"/>
      <c r="NN124" s="89"/>
      <c r="NO124" s="89"/>
      <c r="NP124" s="89"/>
      <c r="NQ124" s="89"/>
      <c r="NR124" s="89"/>
      <c r="NS124" s="89"/>
      <c r="NT124" s="89"/>
      <c r="NU124" s="89"/>
      <c r="NV124" s="89"/>
      <c r="NW124" s="89"/>
      <c r="NX124" s="89"/>
      <c r="NY124" s="89"/>
      <c r="NZ124" s="89"/>
      <c r="OA124" s="89"/>
      <c r="OB124" s="89"/>
      <c r="OC124" s="89"/>
      <c r="OD124" s="89"/>
      <c r="OE124" s="89"/>
      <c r="OF124" s="89"/>
      <c r="OG124" s="89"/>
      <c r="OH124" s="89"/>
      <c r="OI124" s="89"/>
      <c r="OJ124" s="89"/>
      <c r="OK124" s="89"/>
      <c r="OL124" s="89"/>
      <c r="OM124" s="89"/>
      <c r="ON124" s="89"/>
      <c r="OO124" s="89"/>
      <c r="OP124" s="89"/>
      <c r="OQ124" s="89"/>
      <c r="OR124" s="89"/>
      <c r="OS124" s="89"/>
      <c r="OT124" s="89"/>
      <c r="OU124" s="89"/>
      <c r="OV124" s="89"/>
      <c r="OW124" s="89"/>
      <c r="OX124" s="89"/>
      <c r="OY124" s="89"/>
      <c r="OZ124" s="89"/>
      <c r="PA124" s="89"/>
      <c r="PB124" s="89"/>
      <c r="PC124" s="89"/>
      <c r="PD124" s="89"/>
      <c r="PE124" s="89"/>
      <c r="PF124" s="89"/>
      <c r="PG124" s="89"/>
      <c r="PH124" s="89"/>
      <c r="PI124" s="89"/>
      <c r="PJ124" s="89"/>
      <c r="PK124" s="89"/>
      <c r="PL124" s="89"/>
      <c r="PM124" s="89"/>
      <c r="PN124" s="89"/>
      <c r="PO124" s="89"/>
      <c r="PP124" s="89"/>
      <c r="PQ124" s="89"/>
      <c r="PR124" s="89"/>
      <c r="PS124" s="89"/>
      <c r="PT124" s="89"/>
      <c r="PU124" s="89"/>
      <c r="PV124" s="89"/>
      <c r="PW124" s="89"/>
      <c r="PX124" s="89"/>
      <c r="PY124" s="89"/>
      <c r="PZ124" s="89"/>
      <c r="QA124" s="89"/>
      <c r="QB124" s="89"/>
      <c r="QC124" s="89"/>
      <c r="QD124" s="89"/>
      <c r="QE124" s="89"/>
      <c r="QF124" s="89"/>
      <c r="QG124" s="89"/>
      <c r="QH124" s="89"/>
      <c r="QI124" s="89"/>
      <c r="QJ124" s="89"/>
      <c r="QK124" s="89"/>
      <c r="QL124" s="89"/>
      <c r="QM124" s="89"/>
      <c r="QN124" s="89"/>
      <c r="QO124" s="89"/>
      <c r="QP124" s="89"/>
      <c r="QQ124" s="89"/>
      <c r="QR124" s="89"/>
      <c r="QS124" s="89"/>
      <c r="QT124" s="89"/>
      <c r="QU124" s="89"/>
      <c r="QV124" s="89"/>
      <c r="QW124" s="89"/>
      <c r="QX124" s="89"/>
      <c r="QY124" s="89"/>
      <c r="QZ124" s="89"/>
      <c r="RA124" s="89"/>
      <c r="RB124" s="89"/>
      <c r="RC124" s="89"/>
      <c r="RD124" s="89"/>
      <c r="RE124" s="89"/>
      <c r="RF124" s="89"/>
      <c r="RG124" s="89"/>
      <c r="RH124" s="89"/>
      <c r="RI124" s="89"/>
      <c r="RJ124" s="89"/>
      <c r="RK124" s="89"/>
      <c r="RL124" s="89"/>
      <c r="RM124" s="89"/>
      <c r="RN124" s="89"/>
      <c r="RO124" s="89"/>
      <c r="RP124" s="89"/>
      <c r="RQ124" s="89"/>
      <c r="RR124" s="89"/>
      <c r="RS124" s="89"/>
      <c r="RT124" s="89"/>
      <c r="RU124" s="89"/>
      <c r="RV124" s="89"/>
      <c r="RW124" s="89"/>
      <c r="RX124" s="89"/>
      <c r="RY124" s="89"/>
      <c r="RZ124" s="89"/>
      <c r="SA124" s="89"/>
      <c r="SB124" s="89"/>
      <c r="SC124" s="89"/>
      <c r="SD124" s="89"/>
      <c r="SE124" s="89"/>
      <c r="SF124" s="89"/>
      <c r="SG124" s="89"/>
      <c r="SH124" s="89"/>
      <c r="SI124" s="89"/>
      <c r="SJ124" s="89"/>
      <c r="SK124" s="89"/>
      <c r="SL124" s="89"/>
      <c r="SM124" s="89"/>
      <c r="SN124" s="89"/>
      <c r="SO124" s="89"/>
      <c r="SP124" s="89"/>
      <c r="SQ124" s="89"/>
      <c r="SR124" s="89"/>
      <c r="SS124" s="89"/>
      <c r="ST124" s="89"/>
      <c r="SU124" s="89"/>
      <c r="SV124" s="89"/>
      <c r="SW124" s="89"/>
      <c r="SX124" s="89"/>
      <c r="SY124" s="89"/>
      <c r="SZ124" s="89"/>
      <c r="TA124" s="89"/>
      <c r="TB124" s="89"/>
      <c r="TC124" s="89"/>
      <c r="TD124" s="89"/>
      <c r="TE124" s="89"/>
      <c r="TF124" s="89"/>
      <c r="TG124" s="89"/>
      <c r="TH124" s="89"/>
      <c r="TI124" s="89"/>
      <c r="TJ124" s="89"/>
      <c r="TK124" s="89"/>
      <c r="TL124" s="89"/>
      <c r="TM124" s="89"/>
      <c r="TN124" s="89"/>
      <c r="TO124" s="89"/>
      <c r="TP124" s="89"/>
      <c r="TQ124" s="89"/>
      <c r="TR124" s="89"/>
      <c r="TS124" s="89"/>
      <c r="TT124" s="89"/>
      <c r="TU124" s="89"/>
      <c r="TV124" s="89"/>
      <c r="TW124" s="89"/>
      <c r="TX124" s="89"/>
      <c r="TY124" s="89"/>
      <c r="TZ124" s="89"/>
      <c r="UA124" s="89"/>
      <c r="UB124" s="89"/>
      <c r="UC124" s="89"/>
      <c r="UD124" s="89"/>
      <c r="UE124" s="89"/>
      <c r="UF124" s="89"/>
      <c r="UG124" s="89"/>
      <c r="UH124" s="89"/>
      <c r="UI124" s="89"/>
      <c r="UJ124" s="89"/>
      <c r="UK124" s="89"/>
      <c r="UL124" s="89"/>
      <c r="UM124" s="89"/>
      <c r="UN124" s="89"/>
      <c r="UO124" s="89"/>
      <c r="UP124" s="89"/>
      <c r="UQ124" s="89"/>
      <c r="UR124" s="89"/>
      <c r="US124" s="89"/>
      <c r="UT124" s="89"/>
      <c r="UU124" s="89"/>
      <c r="UV124" s="89"/>
      <c r="UW124" s="89"/>
      <c r="UX124" s="89"/>
      <c r="UY124" s="89"/>
      <c r="UZ124" s="89"/>
      <c r="VA124" s="89"/>
      <c r="VB124" s="89"/>
      <c r="VC124" s="89"/>
      <c r="VD124" s="89"/>
      <c r="VE124" s="89"/>
      <c r="VF124" s="89"/>
      <c r="VG124" s="89"/>
      <c r="VH124" s="89"/>
      <c r="VI124" s="89"/>
      <c r="VJ124" s="89"/>
      <c r="VK124" s="89"/>
      <c r="VL124" s="89"/>
      <c r="VM124" s="89"/>
      <c r="VN124" s="89"/>
      <c r="VO124" s="89"/>
      <c r="VP124" s="89"/>
      <c r="VQ124" s="89"/>
      <c r="VR124" s="89"/>
      <c r="VS124" s="89"/>
      <c r="VT124" s="89"/>
      <c r="VU124" s="89"/>
      <c r="VV124" s="89"/>
      <c r="VW124" s="89"/>
      <c r="VX124" s="89"/>
      <c r="VY124" s="89"/>
      <c r="VZ124" s="89"/>
      <c r="WA124" s="89"/>
      <c r="WB124" s="89"/>
      <c r="WC124" s="89"/>
      <c r="WD124" s="89"/>
      <c r="WE124" s="89"/>
      <c r="WF124" s="89"/>
      <c r="WG124" s="89"/>
      <c r="WH124" s="89"/>
      <c r="WI124" s="89"/>
      <c r="WJ124" s="89"/>
      <c r="WK124" s="89"/>
      <c r="WL124" s="89"/>
      <c r="WM124" s="89"/>
      <c r="WN124" s="89"/>
      <c r="WO124" s="89"/>
      <c r="WP124" s="89"/>
      <c r="WQ124" s="89"/>
      <c r="WR124" s="89"/>
      <c r="WS124" s="89"/>
      <c r="WT124" s="89"/>
      <c r="WU124" s="89"/>
      <c r="WV124" s="89"/>
      <c r="WW124" s="89"/>
      <c r="WX124" s="89"/>
      <c r="WY124" s="89"/>
      <c r="WZ124" s="89"/>
      <c r="XA124" s="89"/>
      <c r="XB124" s="89"/>
      <c r="XC124" s="89"/>
      <c r="XD124" s="89"/>
      <c r="XE124" s="89"/>
      <c r="XF124" s="89"/>
      <c r="XG124" s="89"/>
      <c r="XH124" s="89"/>
      <c r="XI124" s="89"/>
      <c r="XJ124" s="89"/>
      <c r="XK124" s="89"/>
      <c r="XL124" s="89"/>
      <c r="XM124" s="89"/>
      <c r="XN124" s="89"/>
      <c r="XO124" s="89"/>
      <c r="XP124" s="89"/>
      <c r="XQ124" s="89"/>
      <c r="XR124" s="89"/>
      <c r="XS124" s="89"/>
      <c r="XT124" s="89"/>
      <c r="XU124" s="89"/>
      <c r="XV124" s="89"/>
      <c r="XW124" s="89"/>
      <c r="XX124" s="89"/>
      <c r="XY124" s="89"/>
      <c r="XZ124" s="89"/>
      <c r="YA124" s="89"/>
      <c r="YB124" s="89"/>
      <c r="YC124" s="89"/>
      <c r="YD124" s="89"/>
      <c r="YE124" s="89"/>
      <c r="YF124" s="89"/>
      <c r="YG124" s="89"/>
      <c r="YH124" s="89"/>
      <c r="YI124" s="89"/>
      <c r="YJ124" s="89"/>
      <c r="YK124" s="89"/>
      <c r="YL124" s="89"/>
      <c r="YM124" s="89"/>
      <c r="YN124" s="89"/>
      <c r="YO124" s="89"/>
      <c r="YP124" s="89"/>
      <c r="YQ124" s="89"/>
      <c r="YR124" s="89"/>
      <c r="YS124" s="89"/>
      <c r="YT124" s="89"/>
      <c r="YU124" s="89"/>
      <c r="YV124" s="89"/>
      <c r="YW124" s="89"/>
      <c r="YX124" s="89"/>
      <c r="YY124" s="89"/>
      <c r="YZ124" s="89"/>
      <c r="ZA124" s="89"/>
      <c r="ZB124" s="89"/>
      <c r="ZC124" s="89"/>
      <c r="ZD124" s="89"/>
      <c r="ZE124" s="89"/>
      <c r="ZF124" s="89"/>
      <c r="ZG124" s="89"/>
      <c r="ZH124" s="89"/>
      <c r="ZI124" s="89"/>
      <c r="ZJ124" s="89"/>
      <c r="ZK124" s="89"/>
      <c r="ZL124" s="89"/>
      <c r="ZM124" s="89"/>
      <c r="ZN124" s="89"/>
      <c r="ZO124" s="89"/>
      <c r="ZP124" s="89"/>
      <c r="ZQ124" s="89"/>
      <c r="ZR124" s="89"/>
      <c r="ZS124" s="89"/>
      <c r="ZT124" s="89"/>
      <c r="ZU124" s="89"/>
      <c r="ZV124" s="89"/>
      <c r="ZW124" s="89"/>
      <c r="ZX124" s="89"/>
      <c r="ZY124" s="89"/>
      <c r="ZZ124" s="89"/>
      <c r="AAA124" s="89"/>
      <c r="AAB124" s="89"/>
      <c r="AAC124" s="89"/>
      <c r="AAD124" s="89"/>
      <c r="AAE124" s="89"/>
      <c r="AAF124" s="89"/>
      <c r="AAG124" s="89"/>
      <c r="AAH124" s="89"/>
      <c r="AAI124" s="89"/>
      <c r="AAJ124" s="89"/>
      <c r="AAK124" s="89"/>
      <c r="AAL124" s="89"/>
      <c r="AAM124" s="89"/>
      <c r="AAN124" s="89"/>
      <c r="AAO124" s="89"/>
      <c r="AAP124" s="89"/>
      <c r="AAQ124" s="89"/>
      <c r="AAR124" s="89"/>
      <c r="AAS124" s="89"/>
      <c r="AAT124" s="89"/>
      <c r="AAU124" s="89"/>
      <c r="AAV124" s="89"/>
      <c r="AAW124" s="89"/>
      <c r="AAX124" s="89"/>
      <c r="AAY124" s="89"/>
      <c r="AAZ124" s="89"/>
      <c r="ABA124" s="89"/>
      <c r="ABB124" s="89"/>
      <c r="ABC124" s="89"/>
      <c r="ABD124" s="89"/>
      <c r="ABE124" s="89"/>
      <c r="ABF124" s="89"/>
      <c r="ABG124" s="89"/>
      <c r="ABH124" s="89"/>
      <c r="ABI124" s="89"/>
      <c r="ABJ124" s="89"/>
      <c r="ABK124" s="89"/>
      <c r="ABL124" s="89"/>
      <c r="ABM124" s="89"/>
      <c r="ABN124" s="89"/>
      <c r="ABO124" s="89"/>
      <c r="ABP124" s="89"/>
      <c r="ABQ124" s="89"/>
      <c r="ABR124" s="89"/>
      <c r="ABS124" s="89"/>
      <c r="ABT124" s="89"/>
      <c r="ABU124" s="89"/>
      <c r="ABV124" s="89"/>
      <c r="ABW124" s="89"/>
      <c r="ABX124" s="89"/>
      <c r="ABY124" s="89"/>
      <c r="ABZ124" s="89"/>
      <c r="ACA124" s="89"/>
      <c r="ACB124" s="89"/>
      <c r="ACC124" s="89"/>
      <c r="ACD124" s="89"/>
      <c r="ACE124" s="89"/>
      <c r="ACF124" s="89"/>
      <c r="ACG124" s="89"/>
      <c r="ACH124" s="89"/>
      <c r="ACI124" s="89"/>
      <c r="ACJ124" s="89"/>
      <c r="ACK124" s="89"/>
      <c r="ACL124" s="89"/>
      <c r="ACM124" s="89"/>
      <c r="ACN124" s="89"/>
      <c r="ACO124" s="89"/>
      <c r="ACP124" s="89"/>
      <c r="ACQ124" s="89"/>
      <c r="ACR124" s="89"/>
      <c r="ACS124" s="89"/>
      <c r="ACT124" s="89"/>
      <c r="ACU124" s="89"/>
      <c r="ACV124" s="89"/>
      <c r="ACW124" s="89"/>
      <c r="ACX124" s="89"/>
      <c r="ACY124" s="89"/>
      <c r="ACZ124" s="89"/>
      <c r="ADA124" s="89"/>
      <c r="ADB124" s="89"/>
      <c r="ADC124" s="89"/>
      <c r="ADD124" s="89"/>
      <c r="ADE124" s="89"/>
      <c r="ADF124" s="89"/>
      <c r="ADG124" s="89"/>
      <c r="ADH124" s="89"/>
      <c r="ADI124" s="89"/>
      <c r="ADJ124" s="89"/>
      <c r="ADK124" s="89"/>
      <c r="ADL124" s="89"/>
      <c r="ADM124" s="89"/>
      <c r="ADN124" s="89"/>
      <c r="ADO124" s="89"/>
      <c r="ADP124" s="89"/>
      <c r="ADQ124" s="89"/>
      <c r="ADR124" s="89"/>
      <c r="ADS124" s="89"/>
      <c r="ADT124" s="89"/>
      <c r="ADU124" s="89"/>
      <c r="ADV124" s="89"/>
      <c r="ADW124" s="89"/>
      <c r="ADX124" s="89"/>
      <c r="ADY124" s="89"/>
      <c r="ADZ124" s="89"/>
      <c r="AEA124" s="89"/>
      <c r="AEB124" s="89"/>
      <c r="AEC124" s="89"/>
      <c r="AED124" s="89"/>
      <c r="AEE124" s="89"/>
      <c r="AEF124" s="89"/>
      <c r="AEG124" s="89"/>
      <c r="AEH124" s="89"/>
      <c r="AEI124" s="89"/>
      <c r="AEJ124" s="89"/>
      <c r="AEK124" s="89"/>
      <c r="AEL124" s="89"/>
      <c r="AEM124" s="89"/>
      <c r="AEN124" s="89"/>
      <c r="AEO124" s="89"/>
      <c r="AEP124" s="89"/>
      <c r="AEQ124" s="89"/>
      <c r="AER124" s="89"/>
      <c r="AES124" s="89"/>
      <c r="AET124" s="89"/>
      <c r="AEU124" s="89"/>
      <c r="AEV124" s="89"/>
      <c r="AEW124" s="89"/>
      <c r="AEX124" s="89"/>
      <c r="AEY124" s="89"/>
      <c r="AEZ124" s="89"/>
      <c r="AFA124" s="89"/>
      <c r="AFB124" s="89"/>
      <c r="AFC124" s="89"/>
      <c r="AFD124" s="89"/>
      <c r="AFE124" s="89"/>
      <c r="AFF124" s="89"/>
      <c r="AFG124" s="89"/>
      <c r="AFH124" s="89"/>
      <c r="AFI124" s="89"/>
      <c r="AFJ124" s="89"/>
      <c r="AFK124" s="89"/>
      <c r="AFL124" s="89"/>
      <c r="AFM124" s="89"/>
      <c r="AFN124" s="89"/>
      <c r="AFO124" s="89"/>
      <c r="AFP124" s="89"/>
      <c r="AFQ124" s="89"/>
      <c r="AFR124" s="89"/>
      <c r="AFS124" s="89"/>
      <c r="AFT124" s="89"/>
      <c r="AFU124" s="89"/>
      <c r="AFV124" s="89"/>
      <c r="AFW124" s="89"/>
      <c r="AFX124" s="89"/>
      <c r="AFY124" s="89"/>
      <c r="AFZ124" s="89"/>
      <c r="AGA124" s="89"/>
      <c r="AGB124" s="89"/>
      <c r="AGC124" s="89"/>
      <c r="AGD124" s="89"/>
      <c r="AGE124" s="89"/>
      <c r="AGF124" s="89"/>
      <c r="AGG124" s="89"/>
      <c r="AGH124" s="89"/>
      <c r="AGI124" s="89"/>
      <c r="AGJ124" s="89"/>
      <c r="AGK124" s="89"/>
      <c r="AGL124" s="89"/>
      <c r="AGM124" s="89"/>
      <c r="AGN124" s="89"/>
      <c r="AGO124" s="89"/>
      <c r="AGP124" s="89"/>
      <c r="AGQ124" s="89"/>
      <c r="AGR124" s="89"/>
      <c r="AGS124" s="89"/>
      <c r="AGT124" s="89"/>
      <c r="AGU124" s="89"/>
      <c r="AGV124" s="89"/>
      <c r="AGW124" s="89"/>
      <c r="AGX124" s="89"/>
      <c r="AGY124" s="89"/>
      <c r="AGZ124" s="89"/>
      <c r="AHA124" s="89"/>
      <c r="AHB124" s="89"/>
      <c r="AHC124" s="89"/>
      <c r="AHD124" s="89"/>
      <c r="AHE124" s="89"/>
      <c r="AHF124" s="89"/>
      <c r="AHG124" s="89"/>
      <c r="AHH124" s="89"/>
      <c r="AHI124" s="89"/>
      <c r="AHJ124" s="89"/>
      <c r="AHK124" s="89"/>
      <c r="AHL124" s="89"/>
      <c r="AHM124" s="89"/>
      <c r="AHN124" s="89"/>
      <c r="AHO124" s="89"/>
      <c r="AHP124" s="89"/>
      <c r="AHQ124" s="89"/>
      <c r="AHR124" s="89"/>
      <c r="AHS124" s="89"/>
      <c r="AHT124" s="89"/>
      <c r="AHU124" s="89"/>
      <c r="AHV124" s="89"/>
      <c r="AHW124" s="89"/>
      <c r="AHX124" s="89"/>
      <c r="AHY124" s="89"/>
      <c r="AHZ124" s="89"/>
      <c r="AIA124" s="89"/>
      <c r="AIB124" s="89"/>
      <c r="AIC124" s="89"/>
      <c r="AID124" s="89"/>
      <c r="AIE124" s="89"/>
      <c r="AIF124" s="89"/>
      <c r="AIG124" s="89"/>
      <c r="AIH124" s="89"/>
      <c r="AII124" s="89"/>
      <c r="AIJ124" s="89"/>
      <c r="AIK124" s="89"/>
      <c r="AIL124" s="89"/>
      <c r="AIM124" s="89"/>
      <c r="AIN124" s="89"/>
      <c r="AIO124" s="89"/>
      <c r="AIP124" s="89"/>
      <c r="AIQ124" s="89"/>
      <c r="AIR124" s="89"/>
      <c r="AIS124" s="89"/>
      <c r="AIT124" s="89"/>
      <c r="AIU124" s="89"/>
      <c r="AIV124" s="89"/>
      <c r="AIW124" s="89"/>
      <c r="AIX124" s="89"/>
      <c r="AIY124" s="89"/>
      <c r="AIZ124" s="89"/>
      <c r="AJA124" s="89"/>
      <c r="AJB124" s="89"/>
      <c r="AJC124" s="89"/>
      <c r="AJD124" s="89"/>
      <c r="AJE124" s="89"/>
      <c r="AJF124" s="89"/>
      <c r="AJG124" s="89"/>
      <c r="AJH124" s="89"/>
      <c r="AJI124" s="89"/>
      <c r="AJJ124" s="89"/>
      <c r="AJK124" s="89"/>
      <c r="AJL124" s="89"/>
      <c r="AJM124" s="89"/>
      <c r="AJN124" s="89"/>
      <c r="AJO124" s="89"/>
      <c r="AJP124" s="89"/>
      <c r="AJQ124" s="89"/>
      <c r="AJR124" s="89"/>
      <c r="AJS124" s="89"/>
      <c r="AJT124" s="89"/>
      <c r="AJU124" s="89"/>
      <c r="AJV124" s="89"/>
      <c r="AJW124" s="89"/>
      <c r="AJX124" s="89"/>
      <c r="AJY124" s="89"/>
      <c r="AJZ124" s="89"/>
      <c r="AKA124" s="89"/>
      <c r="AKB124" s="89"/>
      <c r="AKC124" s="89"/>
      <c r="AKD124" s="89"/>
      <c r="AKE124" s="89"/>
      <c r="AKF124" s="89"/>
      <c r="AKG124" s="89"/>
      <c r="AKH124" s="89"/>
      <c r="AKI124" s="89"/>
      <c r="AKJ124" s="89"/>
      <c r="AKK124" s="89"/>
      <c r="AKL124" s="89"/>
      <c r="AKM124" s="89"/>
      <c r="AKN124" s="89"/>
      <c r="AKO124" s="89"/>
      <c r="AKP124" s="89"/>
      <c r="AKQ124" s="89"/>
      <c r="AKR124" s="89"/>
      <c r="AKS124" s="89"/>
      <c r="AKT124" s="89"/>
      <c r="AKU124" s="89"/>
      <c r="AKV124" s="89"/>
      <c r="AKW124" s="89"/>
      <c r="AKX124" s="89"/>
      <c r="AKY124" s="89"/>
      <c r="AKZ124" s="89"/>
      <c r="ALA124" s="89"/>
      <c r="ALB124" s="89"/>
      <c r="ALC124" s="89"/>
      <c r="ALD124" s="89"/>
      <c r="ALE124" s="89"/>
      <c r="ALF124" s="89"/>
      <c r="ALG124" s="89"/>
      <c r="ALH124" s="89"/>
      <c r="ALI124" s="89"/>
      <c r="ALJ124" s="89"/>
      <c r="ALK124" s="89"/>
      <c r="ALL124" s="89"/>
      <c r="ALM124" s="89"/>
      <c r="ALN124" s="89"/>
      <c r="ALO124" s="89"/>
      <c r="ALP124" s="89"/>
      <c r="ALQ124" s="89"/>
      <c r="ALR124" s="89"/>
      <c r="ALS124" s="89"/>
      <c r="ALT124" s="89"/>
      <c r="ALU124" s="89"/>
      <c r="ALV124" s="89"/>
      <c r="ALW124" s="89"/>
      <c r="ALX124" s="89"/>
      <c r="ALY124" s="89"/>
      <c r="ALZ124" s="89"/>
      <c r="AMA124" s="89"/>
      <c r="AMB124" s="89"/>
      <c r="AMC124" s="89"/>
      <c r="AMD124" s="89"/>
      <c r="AME124" s="89"/>
      <c r="AMF124" s="89"/>
      <c r="AMG124" s="89"/>
      <c r="AMH124" s="89"/>
      <c r="AMI124" s="89"/>
      <c r="AMJ124" s="89"/>
      <c r="AMK124" s="89"/>
      <c r="AML124" s="89"/>
      <c r="AMM124" s="89"/>
      <c r="AMN124" s="89"/>
      <c r="AMO124" s="89"/>
      <c r="AMP124" s="89"/>
      <c r="AMQ124" s="89"/>
      <c r="AMR124" s="89"/>
      <c r="AMS124" s="89"/>
      <c r="AMT124" s="89"/>
      <c r="AMU124" s="89"/>
      <c r="AMV124" s="89"/>
      <c r="AMW124" s="89"/>
      <c r="AMX124" s="89"/>
    </row>
    <row r="125" spans="1:1038" s="7" customFormat="1" ht="27.4" customHeight="1" x14ac:dyDescent="0.2">
      <c r="A125" s="94"/>
      <c r="B125" s="56" t="s">
        <v>335</v>
      </c>
      <c r="C125" s="56"/>
      <c r="D125" s="56"/>
      <c r="E125" s="56"/>
      <c r="F125" s="56"/>
      <c r="G125" s="76"/>
      <c r="H125" s="77"/>
      <c r="I125" s="56"/>
      <c r="J125" s="57"/>
      <c r="K125" s="193"/>
      <c r="L125" s="181"/>
      <c r="M125" s="181"/>
      <c r="N125" s="206"/>
      <c r="O125" s="57"/>
      <c r="P125" s="57"/>
      <c r="Q125" s="57"/>
      <c r="R125" s="57"/>
      <c r="S125" s="57"/>
      <c r="T125" s="57"/>
      <c r="U125" s="57"/>
      <c r="V125" s="90"/>
      <c r="W125" s="90"/>
      <c r="X125" s="90"/>
      <c r="Y125" s="90"/>
      <c r="Z125" s="90"/>
      <c r="AA125" s="90"/>
      <c r="AB125" s="90"/>
      <c r="AC125" s="90"/>
      <c r="AD125" s="90"/>
      <c r="AE125" s="90"/>
      <c r="AF125" s="90"/>
      <c r="AG125" s="90"/>
      <c r="AH125" s="90"/>
      <c r="AI125" s="90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  <c r="AT125" s="90"/>
      <c r="AU125" s="90"/>
      <c r="AV125" s="90"/>
      <c r="AW125" s="90"/>
      <c r="AX125" s="90"/>
      <c r="AY125" s="90"/>
      <c r="AZ125" s="90"/>
      <c r="BA125" s="90"/>
      <c r="BB125" s="90"/>
      <c r="BC125" s="90"/>
      <c r="BD125" s="90"/>
      <c r="BE125" s="90"/>
      <c r="BF125" s="90"/>
      <c r="BG125" s="90"/>
      <c r="BH125" s="90"/>
      <c r="BI125" s="90"/>
      <c r="BJ125" s="90"/>
      <c r="BK125" s="90"/>
      <c r="BL125" s="90"/>
      <c r="BM125" s="90"/>
      <c r="BN125" s="90"/>
      <c r="BO125" s="90"/>
      <c r="BP125" s="90"/>
      <c r="BQ125" s="90"/>
      <c r="BR125" s="90"/>
      <c r="BS125" s="90"/>
      <c r="BT125" s="90"/>
      <c r="BU125" s="90"/>
      <c r="BV125" s="90"/>
      <c r="BW125" s="90"/>
      <c r="BX125" s="90"/>
      <c r="BY125" s="90"/>
      <c r="BZ125" s="90"/>
      <c r="CA125" s="90"/>
      <c r="CB125" s="90"/>
      <c r="CC125" s="90"/>
      <c r="CD125" s="90"/>
      <c r="CE125" s="90"/>
      <c r="CF125" s="90"/>
      <c r="CG125" s="90"/>
      <c r="CH125" s="90"/>
      <c r="CI125" s="90"/>
      <c r="CJ125" s="90"/>
      <c r="CK125" s="90"/>
      <c r="CL125" s="90"/>
      <c r="CM125" s="90"/>
      <c r="CN125" s="90"/>
      <c r="CO125" s="90"/>
      <c r="CP125" s="90"/>
      <c r="CQ125" s="90"/>
      <c r="CR125" s="90"/>
      <c r="CS125" s="90"/>
      <c r="CT125" s="90"/>
      <c r="CU125" s="90"/>
      <c r="CV125" s="90"/>
      <c r="CW125" s="90"/>
      <c r="CX125" s="90"/>
      <c r="CY125" s="90"/>
      <c r="CZ125" s="90"/>
      <c r="DA125" s="90"/>
      <c r="DB125" s="90"/>
      <c r="DC125" s="90"/>
      <c r="DD125" s="90"/>
      <c r="DE125" s="90"/>
      <c r="DF125" s="90"/>
      <c r="DG125" s="90"/>
      <c r="DH125" s="90"/>
      <c r="DI125" s="90"/>
      <c r="DJ125" s="90"/>
      <c r="DK125" s="90"/>
      <c r="DL125" s="90"/>
      <c r="DM125" s="90"/>
      <c r="DN125" s="90"/>
      <c r="DO125" s="90"/>
      <c r="DP125" s="90"/>
      <c r="DQ125" s="90"/>
      <c r="DR125" s="90"/>
      <c r="DS125" s="90"/>
      <c r="DT125" s="90"/>
      <c r="DU125" s="90"/>
      <c r="DV125" s="90"/>
      <c r="DW125" s="90"/>
      <c r="DX125" s="90"/>
      <c r="DY125" s="90"/>
      <c r="DZ125" s="90"/>
      <c r="EA125" s="90"/>
      <c r="EB125" s="90"/>
      <c r="EC125" s="90"/>
      <c r="ED125" s="90"/>
      <c r="EE125" s="90"/>
      <c r="EF125" s="90"/>
      <c r="EG125" s="90"/>
      <c r="EH125" s="90"/>
      <c r="EI125" s="90"/>
      <c r="EJ125" s="90"/>
      <c r="EK125" s="90"/>
      <c r="EL125" s="90"/>
      <c r="EM125" s="90"/>
      <c r="EN125" s="90"/>
      <c r="EO125" s="90"/>
      <c r="EP125" s="90"/>
      <c r="EQ125" s="90"/>
      <c r="ER125" s="90"/>
      <c r="ES125" s="90"/>
      <c r="ET125" s="90"/>
      <c r="EU125" s="90"/>
      <c r="EV125" s="90"/>
      <c r="EW125" s="90"/>
      <c r="EX125" s="90"/>
      <c r="EY125" s="90"/>
      <c r="EZ125" s="90"/>
      <c r="FA125" s="90"/>
      <c r="FB125" s="90"/>
      <c r="FC125" s="90"/>
      <c r="FD125" s="90"/>
      <c r="FE125" s="90"/>
      <c r="FF125" s="90"/>
      <c r="FG125" s="90"/>
      <c r="FH125" s="90"/>
      <c r="FI125" s="90"/>
      <c r="FJ125" s="90"/>
      <c r="FK125" s="90"/>
      <c r="FL125" s="90"/>
      <c r="FM125" s="90"/>
      <c r="FN125" s="90"/>
      <c r="FO125" s="90"/>
      <c r="FP125" s="90"/>
      <c r="FQ125" s="90"/>
      <c r="FR125" s="90"/>
      <c r="FS125" s="90"/>
      <c r="FT125" s="90"/>
      <c r="FU125" s="90"/>
      <c r="FV125" s="90"/>
      <c r="FW125" s="90"/>
      <c r="FX125" s="90"/>
      <c r="FY125" s="90"/>
      <c r="FZ125" s="90"/>
      <c r="GA125" s="90"/>
      <c r="GB125" s="90"/>
      <c r="GC125" s="90"/>
      <c r="GD125" s="90"/>
      <c r="GE125" s="90"/>
      <c r="GF125" s="90"/>
      <c r="GG125" s="90"/>
      <c r="GH125" s="90"/>
      <c r="GI125" s="90"/>
      <c r="GJ125" s="90"/>
      <c r="GK125" s="90"/>
      <c r="GL125" s="90"/>
      <c r="GM125" s="90"/>
      <c r="GN125" s="90"/>
      <c r="GO125" s="90"/>
      <c r="GP125" s="90"/>
      <c r="GQ125" s="90"/>
      <c r="GR125" s="90"/>
      <c r="GS125" s="90"/>
      <c r="GT125" s="90"/>
      <c r="GU125" s="90"/>
      <c r="GV125" s="90"/>
      <c r="GW125" s="90"/>
      <c r="GX125" s="90"/>
      <c r="GY125" s="90"/>
      <c r="GZ125" s="90"/>
      <c r="HA125" s="90"/>
      <c r="HB125" s="90"/>
      <c r="HC125" s="90"/>
      <c r="HD125" s="90"/>
      <c r="HE125" s="90"/>
      <c r="HF125" s="90"/>
      <c r="HG125" s="90"/>
      <c r="HH125" s="90"/>
      <c r="HI125" s="90"/>
      <c r="HJ125" s="90"/>
      <c r="HK125" s="90"/>
      <c r="HL125" s="90"/>
      <c r="HM125" s="90"/>
      <c r="HN125" s="90"/>
      <c r="HO125" s="90"/>
      <c r="HP125" s="90"/>
      <c r="HQ125" s="90"/>
      <c r="HR125" s="90"/>
      <c r="HS125" s="90"/>
      <c r="HT125" s="90"/>
      <c r="HU125" s="90"/>
      <c r="HV125" s="90"/>
      <c r="HW125" s="90"/>
      <c r="HX125" s="90"/>
      <c r="HY125" s="90"/>
      <c r="HZ125" s="90"/>
      <c r="IA125" s="90"/>
      <c r="IB125" s="90"/>
      <c r="IC125" s="90"/>
      <c r="ID125" s="90"/>
      <c r="IE125" s="90"/>
      <c r="IF125" s="90"/>
      <c r="IG125" s="90"/>
      <c r="IH125" s="90"/>
      <c r="II125" s="90"/>
      <c r="IJ125" s="90"/>
      <c r="IK125" s="90"/>
      <c r="IL125" s="90"/>
      <c r="IM125" s="90"/>
      <c r="IN125" s="90"/>
      <c r="IO125" s="90"/>
      <c r="IP125" s="90"/>
      <c r="IQ125" s="90"/>
      <c r="IR125" s="90"/>
      <c r="IS125" s="90"/>
      <c r="IT125" s="90"/>
      <c r="IU125" s="90"/>
      <c r="IV125" s="90"/>
      <c r="IW125" s="90"/>
      <c r="IX125" s="90"/>
      <c r="IY125" s="90"/>
      <c r="IZ125" s="90"/>
      <c r="JA125" s="90"/>
      <c r="JB125" s="90"/>
      <c r="JC125" s="90"/>
      <c r="JD125" s="90"/>
      <c r="JE125" s="90"/>
      <c r="JF125" s="90"/>
      <c r="JG125" s="90"/>
      <c r="JH125" s="90"/>
      <c r="JI125" s="90"/>
      <c r="JJ125" s="90"/>
      <c r="JK125" s="90"/>
      <c r="JL125" s="90"/>
      <c r="JM125" s="90"/>
      <c r="JN125" s="90"/>
      <c r="JO125" s="90"/>
      <c r="JP125" s="90"/>
      <c r="JQ125" s="90"/>
      <c r="JR125" s="90"/>
      <c r="JS125" s="90"/>
      <c r="JT125" s="90"/>
      <c r="JU125" s="90"/>
      <c r="JV125" s="90"/>
      <c r="JW125" s="90"/>
      <c r="JX125" s="90"/>
      <c r="JY125" s="90"/>
      <c r="JZ125" s="90"/>
      <c r="KA125" s="90"/>
      <c r="KB125" s="90"/>
      <c r="KC125" s="90"/>
      <c r="KD125" s="90"/>
      <c r="KE125" s="90"/>
      <c r="KF125" s="90"/>
      <c r="KG125" s="90"/>
      <c r="KH125" s="90"/>
      <c r="KI125" s="90"/>
      <c r="KJ125" s="90"/>
      <c r="KK125" s="90"/>
      <c r="KL125" s="90"/>
      <c r="KM125" s="90"/>
      <c r="KN125" s="90"/>
      <c r="KO125" s="90"/>
      <c r="KP125" s="90"/>
      <c r="KQ125" s="90"/>
      <c r="KR125" s="90"/>
      <c r="KS125" s="90"/>
      <c r="KT125" s="90"/>
      <c r="KU125" s="90"/>
      <c r="KV125" s="90"/>
      <c r="KW125" s="90"/>
      <c r="KX125" s="90"/>
      <c r="KY125" s="90"/>
      <c r="KZ125" s="90"/>
      <c r="LA125" s="90"/>
      <c r="LB125" s="90"/>
      <c r="LC125" s="90"/>
      <c r="LD125" s="90"/>
      <c r="LE125" s="90"/>
      <c r="LF125" s="90"/>
      <c r="LG125" s="90"/>
      <c r="LH125" s="90"/>
      <c r="LI125" s="90"/>
      <c r="LJ125" s="90"/>
      <c r="LK125" s="90"/>
      <c r="LL125" s="90"/>
      <c r="LM125" s="90"/>
      <c r="LN125" s="90"/>
      <c r="LO125" s="90"/>
      <c r="LP125" s="90"/>
      <c r="LQ125" s="90"/>
      <c r="LR125" s="90"/>
      <c r="LS125" s="90"/>
      <c r="LT125" s="90"/>
      <c r="LU125" s="90"/>
      <c r="LV125" s="90"/>
      <c r="LW125" s="90"/>
      <c r="LX125" s="90"/>
      <c r="LY125" s="90"/>
      <c r="LZ125" s="90"/>
      <c r="MA125" s="90"/>
      <c r="MB125" s="90"/>
      <c r="MC125" s="90"/>
      <c r="MD125" s="90"/>
      <c r="ME125" s="90"/>
      <c r="MF125" s="90"/>
      <c r="MG125" s="90"/>
      <c r="MH125" s="90"/>
      <c r="MI125" s="90"/>
      <c r="MJ125" s="90"/>
      <c r="MK125" s="90"/>
      <c r="ML125" s="90"/>
      <c r="MM125" s="90"/>
      <c r="MN125" s="90"/>
      <c r="MO125" s="90"/>
      <c r="MP125" s="90"/>
      <c r="MQ125" s="90"/>
      <c r="MR125" s="90"/>
      <c r="MS125" s="90"/>
      <c r="MT125" s="90"/>
      <c r="MU125" s="90"/>
      <c r="MV125" s="90"/>
      <c r="MW125" s="90"/>
      <c r="MX125" s="90"/>
      <c r="MY125" s="90"/>
      <c r="MZ125" s="90"/>
      <c r="NA125" s="90"/>
      <c r="NB125" s="90"/>
      <c r="NC125" s="90"/>
      <c r="ND125" s="90"/>
      <c r="NE125" s="90"/>
      <c r="NF125" s="90"/>
      <c r="NG125" s="90"/>
      <c r="NH125" s="90"/>
      <c r="NI125" s="90"/>
      <c r="NJ125" s="90"/>
      <c r="NK125" s="90"/>
      <c r="NL125" s="90"/>
      <c r="NM125" s="90"/>
      <c r="NN125" s="90"/>
      <c r="NO125" s="90"/>
      <c r="NP125" s="90"/>
      <c r="NQ125" s="90"/>
      <c r="NR125" s="90"/>
      <c r="NS125" s="90"/>
      <c r="NT125" s="90"/>
      <c r="NU125" s="90"/>
      <c r="NV125" s="90"/>
      <c r="NW125" s="90"/>
      <c r="NX125" s="90"/>
      <c r="NY125" s="90"/>
      <c r="NZ125" s="90"/>
      <c r="OA125" s="90"/>
      <c r="OB125" s="90"/>
      <c r="OC125" s="90"/>
      <c r="OD125" s="90"/>
      <c r="OE125" s="90"/>
      <c r="OF125" s="90"/>
      <c r="OG125" s="90"/>
      <c r="OH125" s="90"/>
      <c r="OI125" s="90"/>
      <c r="OJ125" s="90"/>
      <c r="OK125" s="90"/>
      <c r="OL125" s="90"/>
      <c r="OM125" s="90"/>
      <c r="ON125" s="90"/>
      <c r="OO125" s="90"/>
      <c r="OP125" s="90"/>
      <c r="OQ125" s="90"/>
      <c r="OR125" s="90"/>
      <c r="OS125" s="90"/>
      <c r="OT125" s="90"/>
      <c r="OU125" s="90"/>
      <c r="OV125" s="90"/>
      <c r="OW125" s="90"/>
      <c r="OX125" s="90"/>
      <c r="OY125" s="90"/>
      <c r="OZ125" s="90"/>
      <c r="PA125" s="90"/>
      <c r="PB125" s="90"/>
      <c r="PC125" s="90"/>
      <c r="PD125" s="90"/>
      <c r="PE125" s="90"/>
      <c r="PF125" s="90"/>
      <c r="PG125" s="90"/>
      <c r="PH125" s="90"/>
      <c r="PI125" s="90"/>
      <c r="PJ125" s="90"/>
      <c r="PK125" s="90"/>
      <c r="PL125" s="90"/>
      <c r="PM125" s="90"/>
      <c r="PN125" s="90"/>
      <c r="PO125" s="90"/>
      <c r="PP125" s="90"/>
      <c r="PQ125" s="90"/>
      <c r="PR125" s="90"/>
      <c r="PS125" s="90"/>
      <c r="PT125" s="90"/>
      <c r="PU125" s="90"/>
      <c r="PV125" s="90"/>
      <c r="PW125" s="90"/>
      <c r="PX125" s="90"/>
      <c r="PY125" s="90"/>
      <c r="PZ125" s="90"/>
      <c r="QA125" s="90"/>
      <c r="QB125" s="90"/>
      <c r="QC125" s="90"/>
      <c r="QD125" s="90"/>
      <c r="QE125" s="90"/>
      <c r="QF125" s="90"/>
      <c r="QG125" s="90"/>
      <c r="QH125" s="90"/>
      <c r="QI125" s="90"/>
      <c r="QJ125" s="90"/>
      <c r="QK125" s="90"/>
      <c r="QL125" s="90"/>
      <c r="QM125" s="90"/>
      <c r="QN125" s="90"/>
      <c r="QO125" s="90"/>
      <c r="QP125" s="90"/>
      <c r="QQ125" s="90"/>
      <c r="QR125" s="90"/>
      <c r="QS125" s="90"/>
      <c r="QT125" s="90"/>
      <c r="QU125" s="90"/>
      <c r="QV125" s="90"/>
      <c r="QW125" s="90"/>
      <c r="QX125" s="90"/>
      <c r="QY125" s="90"/>
      <c r="QZ125" s="90"/>
      <c r="RA125" s="90"/>
      <c r="RB125" s="90"/>
      <c r="RC125" s="90"/>
      <c r="RD125" s="90"/>
      <c r="RE125" s="90"/>
      <c r="RF125" s="90"/>
      <c r="RG125" s="90"/>
      <c r="RH125" s="90"/>
      <c r="RI125" s="90"/>
      <c r="RJ125" s="90"/>
      <c r="RK125" s="90"/>
      <c r="RL125" s="90"/>
      <c r="RM125" s="90"/>
      <c r="RN125" s="90"/>
      <c r="RO125" s="90"/>
      <c r="RP125" s="90"/>
      <c r="RQ125" s="90"/>
      <c r="RR125" s="90"/>
      <c r="RS125" s="90"/>
      <c r="RT125" s="90"/>
      <c r="RU125" s="90"/>
      <c r="RV125" s="90"/>
      <c r="RW125" s="90"/>
      <c r="RX125" s="90"/>
      <c r="RY125" s="90"/>
      <c r="RZ125" s="90"/>
      <c r="SA125" s="90"/>
      <c r="SB125" s="90"/>
      <c r="SC125" s="90"/>
      <c r="SD125" s="90"/>
      <c r="SE125" s="90"/>
      <c r="SF125" s="90"/>
      <c r="SG125" s="90"/>
      <c r="SH125" s="90"/>
      <c r="SI125" s="90"/>
      <c r="SJ125" s="90"/>
      <c r="SK125" s="90"/>
      <c r="SL125" s="90"/>
      <c r="SM125" s="90"/>
      <c r="SN125" s="90"/>
      <c r="SO125" s="90"/>
      <c r="SP125" s="90"/>
      <c r="SQ125" s="90"/>
      <c r="SR125" s="90"/>
      <c r="SS125" s="90"/>
      <c r="ST125" s="90"/>
      <c r="SU125" s="90"/>
      <c r="SV125" s="90"/>
      <c r="SW125" s="90"/>
      <c r="SX125" s="90"/>
      <c r="SY125" s="90"/>
      <c r="SZ125" s="90"/>
      <c r="TA125" s="90"/>
      <c r="TB125" s="90"/>
      <c r="TC125" s="90"/>
      <c r="TD125" s="90"/>
      <c r="TE125" s="90"/>
      <c r="TF125" s="90"/>
      <c r="TG125" s="90"/>
      <c r="TH125" s="90"/>
      <c r="TI125" s="90"/>
      <c r="TJ125" s="90"/>
      <c r="TK125" s="90"/>
      <c r="TL125" s="90"/>
      <c r="TM125" s="90"/>
      <c r="TN125" s="90"/>
      <c r="TO125" s="90"/>
      <c r="TP125" s="90"/>
      <c r="TQ125" s="90"/>
      <c r="TR125" s="90"/>
      <c r="TS125" s="90"/>
      <c r="TT125" s="90"/>
      <c r="TU125" s="90"/>
      <c r="TV125" s="90"/>
      <c r="TW125" s="90"/>
      <c r="TX125" s="90"/>
      <c r="TY125" s="90"/>
      <c r="TZ125" s="90"/>
      <c r="UA125" s="90"/>
      <c r="UB125" s="90"/>
      <c r="UC125" s="90"/>
      <c r="UD125" s="90"/>
      <c r="UE125" s="90"/>
      <c r="UF125" s="90"/>
      <c r="UG125" s="90"/>
      <c r="UH125" s="90"/>
      <c r="UI125" s="90"/>
      <c r="UJ125" s="90"/>
      <c r="UK125" s="90"/>
      <c r="UL125" s="90"/>
      <c r="UM125" s="90"/>
      <c r="UN125" s="90"/>
      <c r="UO125" s="90"/>
      <c r="UP125" s="90"/>
      <c r="UQ125" s="90"/>
      <c r="UR125" s="90"/>
      <c r="US125" s="90"/>
      <c r="UT125" s="90"/>
      <c r="UU125" s="90"/>
      <c r="UV125" s="90"/>
      <c r="UW125" s="90"/>
      <c r="UX125" s="90"/>
      <c r="UY125" s="90"/>
      <c r="UZ125" s="90"/>
      <c r="VA125" s="90"/>
      <c r="VB125" s="90"/>
      <c r="VC125" s="90"/>
      <c r="VD125" s="90"/>
      <c r="VE125" s="90"/>
      <c r="VF125" s="90"/>
      <c r="VG125" s="90"/>
      <c r="VH125" s="90"/>
      <c r="VI125" s="90"/>
      <c r="VJ125" s="90"/>
      <c r="VK125" s="90"/>
      <c r="VL125" s="90"/>
      <c r="VM125" s="90"/>
      <c r="VN125" s="90"/>
      <c r="VO125" s="90"/>
      <c r="VP125" s="90"/>
      <c r="VQ125" s="90"/>
      <c r="VR125" s="90"/>
      <c r="VS125" s="90"/>
      <c r="VT125" s="90"/>
      <c r="VU125" s="90"/>
      <c r="VV125" s="90"/>
      <c r="VW125" s="90"/>
      <c r="VX125" s="90"/>
      <c r="VY125" s="90"/>
      <c r="VZ125" s="90"/>
      <c r="WA125" s="90"/>
      <c r="WB125" s="90"/>
      <c r="WC125" s="90"/>
      <c r="WD125" s="90"/>
      <c r="WE125" s="90"/>
      <c r="WF125" s="90"/>
      <c r="WG125" s="90"/>
      <c r="WH125" s="90"/>
      <c r="WI125" s="90"/>
      <c r="WJ125" s="90"/>
      <c r="WK125" s="90"/>
      <c r="WL125" s="90"/>
      <c r="WM125" s="90"/>
      <c r="WN125" s="90"/>
      <c r="WO125" s="90"/>
      <c r="WP125" s="90"/>
      <c r="WQ125" s="90"/>
      <c r="WR125" s="90"/>
      <c r="WS125" s="90"/>
      <c r="WT125" s="90"/>
      <c r="WU125" s="90"/>
      <c r="WV125" s="90"/>
      <c r="WW125" s="90"/>
      <c r="WX125" s="90"/>
      <c r="WY125" s="90"/>
      <c r="WZ125" s="90"/>
      <c r="XA125" s="90"/>
      <c r="XB125" s="90"/>
      <c r="XC125" s="90"/>
      <c r="XD125" s="90"/>
      <c r="XE125" s="90"/>
      <c r="XF125" s="90"/>
      <c r="XG125" s="90"/>
      <c r="XH125" s="90"/>
      <c r="XI125" s="90"/>
      <c r="XJ125" s="90"/>
      <c r="XK125" s="90"/>
      <c r="XL125" s="90"/>
      <c r="XM125" s="90"/>
      <c r="XN125" s="90"/>
      <c r="XO125" s="90"/>
      <c r="XP125" s="90"/>
      <c r="XQ125" s="90"/>
      <c r="XR125" s="90"/>
      <c r="XS125" s="90"/>
      <c r="XT125" s="90"/>
      <c r="XU125" s="90"/>
      <c r="XV125" s="90"/>
      <c r="XW125" s="90"/>
      <c r="XX125" s="90"/>
      <c r="XY125" s="90"/>
      <c r="XZ125" s="90"/>
      <c r="YA125" s="90"/>
      <c r="YB125" s="90"/>
      <c r="YC125" s="90"/>
      <c r="YD125" s="90"/>
      <c r="YE125" s="90"/>
      <c r="YF125" s="90"/>
      <c r="YG125" s="90"/>
      <c r="YH125" s="90"/>
      <c r="YI125" s="90"/>
      <c r="YJ125" s="90"/>
      <c r="YK125" s="90"/>
      <c r="YL125" s="90"/>
      <c r="YM125" s="90"/>
      <c r="YN125" s="90"/>
      <c r="YO125" s="90"/>
      <c r="YP125" s="90"/>
      <c r="YQ125" s="90"/>
      <c r="YR125" s="90"/>
      <c r="YS125" s="90"/>
      <c r="YT125" s="90"/>
      <c r="YU125" s="90"/>
      <c r="YV125" s="90"/>
      <c r="YW125" s="90"/>
      <c r="YX125" s="90"/>
      <c r="YY125" s="90"/>
      <c r="YZ125" s="90"/>
      <c r="ZA125" s="90"/>
      <c r="ZB125" s="90"/>
      <c r="ZC125" s="90"/>
      <c r="ZD125" s="90"/>
      <c r="ZE125" s="90"/>
      <c r="ZF125" s="90"/>
      <c r="ZG125" s="90"/>
      <c r="ZH125" s="90"/>
      <c r="ZI125" s="90"/>
      <c r="ZJ125" s="90"/>
      <c r="ZK125" s="90"/>
      <c r="ZL125" s="90"/>
      <c r="ZM125" s="90"/>
      <c r="ZN125" s="90"/>
      <c r="ZO125" s="90"/>
      <c r="ZP125" s="90"/>
      <c r="ZQ125" s="90"/>
      <c r="ZR125" s="90"/>
      <c r="ZS125" s="90"/>
      <c r="ZT125" s="90"/>
      <c r="ZU125" s="90"/>
      <c r="ZV125" s="90"/>
      <c r="ZW125" s="90"/>
      <c r="ZX125" s="90"/>
      <c r="ZY125" s="90"/>
      <c r="ZZ125" s="90"/>
      <c r="AAA125" s="90"/>
      <c r="AAB125" s="90"/>
      <c r="AAC125" s="90"/>
      <c r="AAD125" s="90"/>
      <c r="AAE125" s="90"/>
      <c r="AAF125" s="90"/>
      <c r="AAG125" s="90"/>
      <c r="AAH125" s="90"/>
      <c r="AAI125" s="90"/>
      <c r="AAJ125" s="90"/>
      <c r="AAK125" s="90"/>
      <c r="AAL125" s="90"/>
      <c r="AAM125" s="90"/>
      <c r="AAN125" s="90"/>
      <c r="AAO125" s="90"/>
      <c r="AAP125" s="90"/>
      <c r="AAQ125" s="90"/>
      <c r="AAR125" s="90"/>
      <c r="AAS125" s="90"/>
      <c r="AAT125" s="90"/>
      <c r="AAU125" s="90"/>
      <c r="AAV125" s="90"/>
      <c r="AAW125" s="90"/>
      <c r="AAX125" s="90"/>
      <c r="AAY125" s="90"/>
      <c r="AAZ125" s="90"/>
      <c r="ABA125" s="90"/>
      <c r="ABB125" s="90"/>
      <c r="ABC125" s="90"/>
      <c r="ABD125" s="90"/>
      <c r="ABE125" s="90"/>
      <c r="ABF125" s="90"/>
      <c r="ABG125" s="90"/>
      <c r="ABH125" s="90"/>
      <c r="ABI125" s="90"/>
      <c r="ABJ125" s="90"/>
      <c r="ABK125" s="90"/>
      <c r="ABL125" s="90"/>
      <c r="ABM125" s="90"/>
      <c r="ABN125" s="90"/>
      <c r="ABO125" s="90"/>
      <c r="ABP125" s="90"/>
      <c r="ABQ125" s="90"/>
      <c r="ABR125" s="90"/>
      <c r="ABS125" s="90"/>
      <c r="ABT125" s="90"/>
      <c r="ABU125" s="90"/>
      <c r="ABV125" s="90"/>
      <c r="ABW125" s="90"/>
      <c r="ABX125" s="90"/>
      <c r="ABY125" s="90"/>
      <c r="ABZ125" s="90"/>
      <c r="ACA125" s="90"/>
      <c r="ACB125" s="90"/>
      <c r="ACC125" s="90"/>
      <c r="ACD125" s="90"/>
      <c r="ACE125" s="90"/>
      <c r="ACF125" s="90"/>
      <c r="ACG125" s="90"/>
      <c r="ACH125" s="90"/>
      <c r="ACI125" s="90"/>
      <c r="ACJ125" s="90"/>
      <c r="ACK125" s="90"/>
      <c r="ACL125" s="90"/>
      <c r="ACM125" s="90"/>
      <c r="ACN125" s="90"/>
      <c r="ACO125" s="90"/>
      <c r="ACP125" s="90"/>
      <c r="ACQ125" s="90"/>
      <c r="ACR125" s="90"/>
      <c r="ACS125" s="90"/>
      <c r="ACT125" s="90"/>
      <c r="ACU125" s="90"/>
      <c r="ACV125" s="90"/>
      <c r="ACW125" s="90"/>
      <c r="ACX125" s="90"/>
      <c r="ACY125" s="90"/>
      <c r="ACZ125" s="90"/>
      <c r="ADA125" s="90"/>
      <c r="ADB125" s="90"/>
      <c r="ADC125" s="90"/>
      <c r="ADD125" s="90"/>
      <c r="ADE125" s="90"/>
      <c r="ADF125" s="90"/>
      <c r="ADG125" s="90"/>
      <c r="ADH125" s="90"/>
      <c r="ADI125" s="90"/>
      <c r="ADJ125" s="90"/>
      <c r="ADK125" s="90"/>
      <c r="ADL125" s="90"/>
      <c r="ADM125" s="90"/>
      <c r="ADN125" s="90"/>
      <c r="ADO125" s="90"/>
      <c r="ADP125" s="90"/>
      <c r="ADQ125" s="90"/>
      <c r="ADR125" s="90"/>
      <c r="ADS125" s="90"/>
      <c r="ADT125" s="90"/>
      <c r="ADU125" s="90"/>
      <c r="ADV125" s="90"/>
      <c r="ADW125" s="90"/>
      <c r="ADX125" s="90"/>
      <c r="ADY125" s="90"/>
      <c r="ADZ125" s="90"/>
      <c r="AEA125" s="90"/>
      <c r="AEB125" s="90"/>
      <c r="AEC125" s="90"/>
      <c r="AED125" s="90"/>
      <c r="AEE125" s="90"/>
      <c r="AEF125" s="90"/>
      <c r="AEG125" s="90"/>
      <c r="AEH125" s="90"/>
      <c r="AEI125" s="90"/>
      <c r="AEJ125" s="90"/>
      <c r="AEK125" s="90"/>
      <c r="AEL125" s="90"/>
      <c r="AEM125" s="90"/>
      <c r="AEN125" s="90"/>
      <c r="AEO125" s="90"/>
      <c r="AEP125" s="90"/>
      <c r="AEQ125" s="90"/>
      <c r="AER125" s="90"/>
      <c r="AES125" s="90"/>
      <c r="AET125" s="90"/>
      <c r="AEU125" s="90"/>
      <c r="AEV125" s="90"/>
      <c r="AEW125" s="90"/>
      <c r="AEX125" s="90"/>
      <c r="AEY125" s="90"/>
      <c r="AEZ125" s="90"/>
      <c r="AFA125" s="90"/>
      <c r="AFB125" s="90"/>
      <c r="AFC125" s="90"/>
      <c r="AFD125" s="90"/>
      <c r="AFE125" s="90"/>
      <c r="AFF125" s="90"/>
      <c r="AFG125" s="90"/>
      <c r="AFH125" s="90"/>
      <c r="AFI125" s="90"/>
      <c r="AFJ125" s="90"/>
      <c r="AFK125" s="90"/>
      <c r="AFL125" s="90"/>
      <c r="AFM125" s="90"/>
      <c r="AFN125" s="90"/>
      <c r="AFO125" s="90"/>
      <c r="AFP125" s="90"/>
      <c r="AFQ125" s="90"/>
      <c r="AFR125" s="90"/>
      <c r="AFS125" s="90"/>
      <c r="AFT125" s="90"/>
      <c r="AFU125" s="90"/>
      <c r="AFV125" s="90"/>
      <c r="AFW125" s="90"/>
      <c r="AFX125" s="90"/>
      <c r="AFY125" s="90"/>
      <c r="AFZ125" s="90"/>
      <c r="AGA125" s="90"/>
      <c r="AGB125" s="90"/>
      <c r="AGC125" s="90"/>
      <c r="AGD125" s="90"/>
      <c r="AGE125" s="90"/>
      <c r="AGF125" s="90"/>
      <c r="AGG125" s="90"/>
      <c r="AGH125" s="90"/>
      <c r="AGI125" s="90"/>
      <c r="AGJ125" s="90"/>
      <c r="AGK125" s="90"/>
      <c r="AGL125" s="90"/>
      <c r="AGM125" s="90"/>
      <c r="AGN125" s="90"/>
      <c r="AGO125" s="90"/>
      <c r="AGP125" s="90"/>
      <c r="AGQ125" s="90"/>
      <c r="AGR125" s="90"/>
      <c r="AGS125" s="90"/>
      <c r="AGT125" s="90"/>
      <c r="AGU125" s="90"/>
      <c r="AGV125" s="90"/>
      <c r="AGW125" s="90"/>
      <c r="AGX125" s="90"/>
      <c r="AGY125" s="90"/>
      <c r="AGZ125" s="90"/>
      <c r="AHA125" s="90"/>
      <c r="AHB125" s="90"/>
      <c r="AHC125" s="90"/>
      <c r="AHD125" s="90"/>
      <c r="AHE125" s="90"/>
      <c r="AHF125" s="90"/>
      <c r="AHG125" s="90"/>
      <c r="AHH125" s="90"/>
      <c r="AHI125" s="90"/>
      <c r="AHJ125" s="90"/>
      <c r="AHK125" s="90"/>
      <c r="AHL125" s="90"/>
      <c r="AHM125" s="90"/>
      <c r="AHN125" s="90"/>
      <c r="AHO125" s="90"/>
      <c r="AHP125" s="90"/>
      <c r="AHQ125" s="90"/>
      <c r="AHR125" s="90"/>
      <c r="AHS125" s="90"/>
      <c r="AHT125" s="90"/>
      <c r="AHU125" s="90"/>
      <c r="AHV125" s="90"/>
      <c r="AHW125" s="90"/>
      <c r="AHX125" s="90"/>
      <c r="AHY125" s="90"/>
      <c r="AHZ125" s="90"/>
      <c r="AIA125" s="90"/>
      <c r="AIB125" s="90"/>
      <c r="AIC125" s="90"/>
      <c r="AID125" s="90"/>
      <c r="AIE125" s="90"/>
      <c r="AIF125" s="90"/>
      <c r="AIG125" s="90"/>
      <c r="AIH125" s="90"/>
      <c r="AII125" s="90"/>
      <c r="AIJ125" s="90"/>
      <c r="AIK125" s="90"/>
      <c r="AIL125" s="90"/>
      <c r="AIM125" s="90"/>
      <c r="AIN125" s="90"/>
      <c r="AIO125" s="90"/>
      <c r="AIP125" s="90"/>
      <c r="AIQ125" s="90"/>
      <c r="AIR125" s="90"/>
      <c r="AIS125" s="90"/>
      <c r="AIT125" s="90"/>
      <c r="AIU125" s="90"/>
      <c r="AIV125" s="90"/>
      <c r="AIW125" s="90"/>
      <c r="AIX125" s="90"/>
      <c r="AIY125" s="90"/>
      <c r="AIZ125" s="90"/>
      <c r="AJA125" s="90"/>
      <c r="AJB125" s="90"/>
      <c r="AJC125" s="90"/>
      <c r="AJD125" s="90"/>
      <c r="AJE125" s="90"/>
      <c r="AJF125" s="90"/>
      <c r="AJG125" s="90"/>
      <c r="AJH125" s="90"/>
      <c r="AJI125" s="90"/>
      <c r="AJJ125" s="90"/>
      <c r="AJK125" s="90"/>
      <c r="AJL125" s="90"/>
      <c r="AJM125" s="90"/>
      <c r="AJN125" s="90"/>
      <c r="AJO125" s="90"/>
      <c r="AJP125" s="90"/>
      <c r="AJQ125" s="90"/>
      <c r="AJR125" s="90"/>
      <c r="AJS125" s="90"/>
      <c r="AJT125" s="90"/>
      <c r="AJU125" s="90"/>
      <c r="AJV125" s="90"/>
      <c r="AJW125" s="90"/>
      <c r="AJX125" s="90"/>
      <c r="AJY125" s="90"/>
      <c r="AJZ125" s="90"/>
      <c r="AKA125" s="90"/>
      <c r="AKB125" s="90"/>
      <c r="AKC125" s="90"/>
      <c r="AKD125" s="90"/>
      <c r="AKE125" s="90"/>
      <c r="AKF125" s="90"/>
      <c r="AKG125" s="90"/>
      <c r="AKH125" s="90"/>
      <c r="AKI125" s="90"/>
      <c r="AKJ125" s="90"/>
      <c r="AKK125" s="90"/>
      <c r="AKL125" s="90"/>
      <c r="AKM125" s="90"/>
      <c r="AKN125" s="90"/>
      <c r="AKO125" s="90"/>
      <c r="AKP125" s="90"/>
      <c r="AKQ125" s="90"/>
      <c r="AKR125" s="90"/>
      <c r="AKS125" s="90"/>
      <c r="AKT125" s="90"/>
      <c r="AKU125" s="90"/>
      <c r="AKV125" s="90"/>
      <c r="AKW125" s="90"/>
      <c r="AKX125" s="90"/>
      <c r="AKY125" s="90"/>
      <c r="AKZ125" s="90"/>
      <c r="ALA125" s="90"/>
      <c r="ALB125" s="90"/>
      <c r="ALC125" s="90"/>
      <c r="ALD125" s="90"/>
      <c r="ALE125" s="90"/>
      <c r="ALF125" s="90"/>
      <c r="ALG125" s="90"/>
      <c r="ALH125" s="90"/>
      <c r="ALI125" s="90"/>
      <c r="ALJ125" s="90"/>
      <c r="ALK125" s="90"/>
      <c r="ALL125" s="90"/>
      <c r="ALM125" s="90"/>
      <c r="ALN125" s="90"/>
      <c r="ALO125" s="90"/>
      <c r="ALP125" s="90"/>
      <c r="ALQ125" s="90"/>
      <c r="ALR125" s="90"/>
      <c r="ALS125" s="90"/>
      <c r="ALT125" s="90"/>
      <c r="ALU125" s="90"/>
      <c r="ALV125" s="90"/>
      <c r="ALW125" s="90"/>
      <c r="ALX125" s="90"/>
      <c r="ALY125" s="90"/>
      <c r="ALZ125" s="90"/>
      <c r="AMA125" s="90"/>
      <c r="AMB125" s="90"/>
      <c r="AMC125" s="90"/>
      <c r="AMD125" s="90"/>
      <c r="AME125" s="90"/>
      <c r="AMF125" s="90"/>
      <c r="AMG125" s="90"/>
      <c r="AMH125" s="90"/>
      <c r="AMI125" s="90"/>
      <c r="AMJ125" s="90"/>
      <c r="AMK125" s="90"/>
      <c r="AML125" s="90"/>
      <c r="AMM125" s="90"/>
      <c r="AMN125" s="90"/>
      <c r="AMO125" s="90"/>
      <c r="AMP125" s="90"/>
      <c r="AMQ125" s="90"/>
      <c r="AMR125" s="90"/>
      <c r="AMS125" s="90"/>
      <c r="AMT125" s="90"/>
      <c r="AMU125" s="90"/>
      <c r="AMV125" s="90"/>
      <c r="AMW125" s="90"/>
      <c r="AMX125" s="90"/>
    </row>
    <row r="126" spans="1:1038" s="5" customFormat="1" ht="27.4" customHeight="1" x14ac:dyDescent="0.4">
      <c r="A126" s="18">
        <v>89</v>
      </c>
      <c r="B126" s="58" t="s">
        <v>322</v>
      </c>
      <c r="C126" s="20" t="s">
        <v>289</v>
      </c>
      <c r="D126" s="59" t="s">
        <v>156</v>
      </c>
      <c r="E126" s="59"/>
      <c r="F126" s="59" t="s">
        <v>277</v>
      </c>
      <c r="G126" s="78"/>
      <c r="H126" s="69">
        <v>46203</v>
      </c>
      <c r="I126" s="21"/>
      <c r="J126" s="23">
        <v>44.6982</v>
      </c>
      <c r="K126" s="183">
        <v>10.617800000000001</v>
      </c>
      <c r="L126" s="23"/>
      <c r="M126" s="23"/>
      <c r="N126" s="207"/>
      <c r="O126" s="61">
        <v>0</v>
      </c>
      <c r="P126" s="60">
        <v>210000</v>
      </c>
      <c r="Q126" s="61"/>
      <c r="R126" s="60"/>
      <c r="S126" s="61"/>
      <c r="T126" s="62"/>
      <c r="U126" s="62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1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  <c r="CD126" s="91"/>
      <c r="CE126" s="91"/>
      <c r="CF126" s="91"/>
      <c r="CG126" s="91"/>
      <c r="CH126" s="91"/>
      <c r="CI126" s="91"/>
      <c r="CJ126" s="91"/>
      <c r="CK126" s="91"/>
      <c r="CL126" s="91"/>
      <c r="CM126" s="91"/>
      <c r="CN126" s="91"/>
      <c r="CO126" s="91"/>
      <c r="CP126" s="91"/>
      <c r="CQ126" s="91"/>
      <c r="CR126" s="91"/>
      <c r="CS126" s="91"/>
      <c r="CT126" s="91"/>
      <c r="CU126" s="91"/>
      <c r="CV126" s="91"/>
      <c r="CW126" s="91"/>
      <c r="CX126" s="91"/>
      <c r="CY126" s="91"/>
      <c r="CZ126" s="91"/>
      <c r="DA126" s="91"/>
      <c r="DB126" s="91"/>
      <c r="DC126" s="91"/>
      <c r="DD126" s="91"/>
      <c r="DE126" s="91"/>
      <c r="DF126" s="91"/>
      <c r="DG126" s="91"/>
      <c r="DH126" s="91"/>
      <c r="DI126" s="91"/>
      <c r="DJ126" s="91"/>
      <c r="DK126" s="91"/>
      <c r="DL126" s="91"/>
      <c r="DM126" s="91"/>
      <c r="DN126" s="91"/>
      <c r="DO126" s="91"/>
      <c r="DP126" s="91"/>
      <c r="DQ126" s="91"/>
      <c r="DR126" s="91"/>
      <c r="DS126" s="91"/>
      <c r="DT126" s="91"/>
      <c r="DU126" s="91"/>
      <c r="DV126" s="91"/>
      <c r="DW126" s="91"/>
      <c r="DX126" s="91"/>
      <c r="DY126" s="91"/>
      <c r="DZ126" s="91"/>
      <c r="EA126" s="91"/>
      <c r="EB126" s="91"/>
      <c r="EC126" s="91"/>
      <c r="ED126" s="91"/>
      <c r="EE126" s="91"/>
      <c r="EF126" s="91"/>
      <c r="EG126" s="91"/>
      <c r="EH126" s="91"/>
      <c r="EI126" s="91"/>
      <c r="EJ126" s="91"/>
      <c r="EK126" s="91"/>
      <c r="EL126" s="91"/>
      <c r="EM126" s="91"/>
      <c r="EN126" s="91"/>
      <c r="EO126" s="91"/>
      <c r="EP126" s="91"/>
      <c r="EQ126" s="91"/>
      <c r="ER126" s="91"/>
      <c r="ES126" s="91"/>
      <c r="ET126" s="91"/>
      <c r="EU126" s="91"/>
      <c r="EV126" s="91"/>
      <c r="EW126" s="91"/>
      <c r="EX126" s="91"/>
      <c r="EY126" s="91"/>
      <c r="EZ126" s="91"/>
      <c r="FA126" s="91"/>
      <c r="FB126" s="91"/>
      <c r="FC126" s="91"/>
      <c r="FD126" s="91"/>
      <c r="FE126" s="91"/>
      <c r="FF126" s="91"/>
      <c r="FG126" s="91"/>
      <c r="FH126" s="91"/>
      <c r="FI126" s="91"/>
      <c r="FJ126" s="91"/>
      <c r="FK126" s="91"/>
      <c r="FL126" s="91"/>
      <c r="FM126" s="91"/>
      <c r="FN126" s="91"/>
      <c r="FO126" s="91"/>
      <c r="FP126" s="91"/>
      <c r="FQ126" s="91"/>
      <c r="FR126" s="91"/>
      <c r="FS126" s="91"/>
      <c r="FT126" s="91"/>
      <c r="FU126" s="91"/>
      <c r="FV126" s="91"/>
      <c r="FW126" s="91"/>
      <c r="FX126" s="91"/>
      <c r="FY126" s="91"/>
      <c r="FZ126" s="91"/>
      <c r="GA126" s="91"/>
      <c r="GB126" s="91"/>
      <c r="GC126" s="91"/>
      <c r="GD126" s="91"/>
      <c r="GE126" s="91"/>
      <c r="GF126" s="91"/>
      <c r="GG126" s="91"/>
      <c r="GH126" s="91"/>
      <c r="GI126" s="91"/>
      <c r="GJ126" s="91"/>
      <c r="GK126" s="91"/>
      <c r="GL126" s="91"/>
      <c r="GM126" s="91"/>
      <c r="GN126" s="91"/>
      <c r="GO126" s="91"/>
      <c r="GP126" s="91"/>
      <c r="GQ126" s="91"/>
      <c r="GR126" s="91"/>
      <c r="GS126" s="91"/>
      <c r="GT126" s="91"/>
      <c r="GU126" s="91"/>
      <c r="GV126" s="91"/>
      <c r="GW126" s="91"/>
      <c r="GX126" s="91"/>
      <c r="GY126" s="91"/>
      <c r="GZ126" s="91"/>
      <c r="HA126" s="91"/>
      <c r="HB126" s="91"/>
      <c r="HC126" s="91"/>
      <c r="HD126" s="91"/>
      <c r="HE126" s="91"/>
      <c r="HF126" s="91"/>
      <c r="HG126" s="91"/>
      <c r="HH126" s="91"/>
      <c r="HI126" s="91"/>
      <c r="HJ126" s="91"/>
      <c r="HK126" s="91"/>
      <c r="HL126" s="91"/>
      <c r="HM126" s="91"/>
      <c r="HN126" s="91"/>
      <c r="HO126" s="91"/>
      <c r="HP126" s="91"/>
      <c r="HQ126" s="91"/>
      <c r="HR126" s="91"/>
      <c r="HS126" s="91"/>
      <c r="HT126" s="91"/>
      <c r="HU126" s="91"/>
      <c r="HV126" s="91"/>
      <c r="HW126" s="91"/>
      <c r="HX126" s="91"/>
      <c r="HY126" s="91"/>
      <c r="HZ126" s="91"/>
      <c r="IA126" s="91"/>
      <c r="IB126" s="91"/>
      <c r="IC126" s="91"/>
      <c r="ID126" s="91"/>
      <c r="IE126" s="91"/>
      <c r="IF126" s="91"/>
      <c r="IG126" s="91"/>
      <c r="IH126" s="91"/>
      <c r="II126" s="91"/>
      <c r="IJ126" s="91"/>
      <c r="IK126" s="91"/>
      <c r="IL126" s="91"/>
      <c r="IM126" s="91"/>
      <c r="IN126" s="91"/>
      <c r="IO126" s="91"/>
      <c r="IP126" s="91"/>
      <c r="IQ126" s="91"/>
      <c r="IR126" s="91"/>
      <c r="IS126" s="91"/>
      <c r="IT126" s="91"/>
      <c r="IU126" s="91"/>
      <c r="IV126" s="91"/>
      <c r="IW126" s="91"/>
      <c r="IX126" s="91"/>
      <c r="IY126" s="91"/>
      <c r="IZ126" s="91"/>
      <c r="JA126" s="91"/>
      <c r="JB126" s="91"/>
      <c r="JC126" s="91"/>
      <c r="JD126" s="91"/>
      <c r="JE126" s="91"/>
      <c r="JF126" s="91"/>
      <c r="JG126" s="91"/>
      <c r="JH126" s="91"/>
      <c r="JI126" s="91"/>
      <c r="JJ126" s="91"/>
      <c r="JK126" s="91"/>
      <c r="JL126" s="91"/>
      <c r="JM126" s="91"/>
      <c r="JN126" s="91"/>
      <c r="JO126" s="91"/>
      <c r="JP126" s="91"/>
      <c r="JQ126" s="91"/>
      <c r="JR126" s="91"/>
      <c r="JS126" s="91"/>
      <c r="JT126" s="91"/>
      <c r="JU126" s="91"/>
      <c r="JV126" s="91"/>
      <c r="JW126" s="91"/>
      <c r="JX126" s="91"/>
      <c r="JY126" s="91"/>
      <c r="JZ126" s="91"/>
      <c r="KA126" s="91"/>
      <c r="KB126" s="91"/>
      <c r="KC126" s="91"/>
      <c r="KD126" s="91"/>
      <c r="KE126" s="91"/>
      <c r="KF126" s="91"/>
      <c r="KG126" s="91"/>
      <c r="KH126" s="91"/>
      <c r="KI126" s="91"/>
      <c r="KJ126" s="91"/>
      <c r="KK126" s="91"/>
      <c r="KL126" s="91"/>
      <c r="KM126" s="91"/>
      <c r="KN126" s="91"/>
      <c r="KO126" s="91"/>
      <c r="KP126" s="91"/>
      <c r="KQ126" s="91"/>
      <c r="KR126" s="91"/>
      <c r="KS126" s="91"/>
      <c r="KT126" s="91"/>
      <c r="KU126" s="91"/>
      <c r="KV126" s="91"/>
      <c r="KW126" s="91"/>
      <c r="KX126" s="91"/>
      <c r="KY126" s="91"/>
      <c r="KZ126" s="91"/>
      <c r="LA126" s="91"/>
      <c r="LB126" s="91"/>
      <c r="LC126" s="91"/>
      <c r="LD126" s="91"/>
      <c r="LE126" s="91"/>
      <c r="LF126" s="91"/>
      <c r="LG126" s="91"/>
      <c r="LH126" s="91"/>
      <c r="LI126" s="91"/>
      <c r="LJ126" s="91"/>
      <c r="LK126" s="91"/>
      <c r="LL126" s="91"/>
      <c r="LM126" s="91"/>
      <c r="LN126" s="91"/>
      <c r="LO126" s="91"/>
      <c r="LP126" s="91"/>
      <c r="LQ126" s="91"/>
      <c r="LR126" s="91"/>
      <c r="LS126" s="91"/>
      <c r="LT126" s="91"/>
      <c r="LU126" s="91"/>
      <c r="LV126" s="91"/>
      <c r="LW126" s="91"/>
      <c r="LX126" s="91"/>
      <c r="LY126" s="91"/>
      <c r="LZ126" s="91"/>
      <c r="MA126" s="91"/>
      <c r="MB126" s="91"/>
      <c r="MC126" s="91"/>
      <c r="MD126" s="91"/>
      <c r="ME126" s="91"/>
      <c r="MF126" s="91"/>
      <c r="MG126" s="91"/>
      <c r="MH126" s="91"/>
      <c r="MI126" s="91"/>
      <c r="MJ126" s="91"/>
      <c r="MK126" s="91"/>
      <c r="ML126" s="91"/>
      <c r="MM126" s="91"/>
      <c r="MN126" s="91"/>
      <c r="MO126" s="91"/>
      <c r="MP126" s="91"/>
      <c r="MQ126" s="91"/>
      <c r="MR126" s="91"/>
      <c r="MS126" s="91"/>
      <c r="MT126" s="91"/>
      <c r="MU126" s="91"/>
      <c r="MV126" s="91"/>
      <c r="MW126" s="91"/>
      <c r="MX126" s="91"/>
      <c r="MY126" s="91"/>
      <c r="MZ126" s="91"/>
      <c r="NA126" s="91"/>
      <c r="NB126" s="91"/>
      <c r="NC126" s="91"/>
      <c r="ND126" s="91"/>
      <c r="NE126" s="91"/>
      <c r="NF126" s="91"/>
      <c r="NG126" s="91"/>
      <c r="NH126" s="91"/>
      <c r="NI126" s="91"/>
      <c r="NJ126" s="91"/>
      <c r="NK126" s="91"/>
      <c r="NL126" s="91"/>
      <c r="NM126" s="91"/>
      <c r="NN126" s="91"/>
      <c r="NO126" s="91"/>
      <c r="NP126" s="91"/>
      <c r="NQ126" s="91"/>
      <c r="NR126" s="91"/>
      <c r="NS126" s="91"/>
      <c r="NT126" s="91"/>
      <c r="NU126" s="91"/>
      <c r="NV126" s="91"/>
      <c r="NW126" s="91"/>
      <c r="NX126" s="91"/>
      <c r="NY126" s="91"/>
      <c r="NZ126" s="91"/>
      <c r="OA126" s="91"/>
      <c r="OB126" s="91"/>
      <c r="OC126" s="91"/>
      <c r="OD126" s="91"/>
      <c r="OE126" s="91"/>
      <c r="OF126" s="91"/>
      <c r="OG126" s="91"/>
      <c r="OH126" s="91"/>
      <c r="OI126" s="91"/>
      <c r="OJ126" s="91"/>
      <c r="OK126" s="91"/>
      <c r="OL126" s="91"/>
      <c r="OM126" s="91"/>
      <c r="ON126" s="91"/>
      <c r="OO126" s="91"/>
      <c r="OP126" s="91"/>
      <c r="OQ126" s="91"/>
      <c r="OR126" s="91"/>
      <c r="OS126" s="91"/>
      <c r="OT126" s="91"/>
      <c r="OU126" s="91"/>
      <c r="OV126" s="91"/>
      <c r="OW126" s="91"/>
      <c r="OX126" s="91"/>
      <c r="OY126" s="91"/>
      <c r="OZ126" s="91"/>
      <c r="PA126" s="91"/>
      <c r="PB126" s="91"/>
      <c r="PC126" s="91"/>
      <c r="PD126" s="91"/>
      <c r="PE126" s="91"/>
      <c r="PF126" s="91"/>
      <c r="PG126" s="91"/>
      <c r="PH126" s="91"/>
      <c r="PI126" s="91"/>
      <c r="PJ126" s="91"/>
      <c r="PK126" s="91"/>
      <c r="PL126" s="91"/>
      <c r="PM126" s="91"/>
      <c r="PN126" s="91"/>
      <c r="PO126" s="91"/>
      <c r="PP126" s="91"/>
      <c r="PQ126" s="91"/>
      <c r="PR126" s="91"/>
      <c r="PS126" s="91"/>
      <c r="PT126" s="91"/>
      <c r="PU126" s="91"/>
      <c r="PV126" s="91"/>
      <c r="PW126" s="91"/>
      <c r="PX126" s="91"/>
      <c r="PY126" s="91"/>
      <c r="PZ126" s="91"/>
      <c r="QA126" s="91"/>
      <c r="QB126" s="91"/>
      <c r="QC126" s="91"/>
      <c r="QD126" s="91"/>
      <c r="QE126" s="91"/>
      <c r="QF126" s="91"/>
      <c r="QG126" s="91"/>
      <c r="QH126" s="91"/>
      <c r="QI126" s="91"/>
      <c r="QJ126" s="91"/>
      <c r="QK126" s="91"/>
      <c r="QL126" s="91"/>
      <c r="QM126" s="91"/>
      <c r="QN126" s="91"/>
      <c r="QO126" s="91"/>
      <c r="QP126" s="91"/>
      <c r="QQ126" s="91"/>
      <c r="QR126" s="91"/>
      <c r="QS126" s="91"/>
      <c r="QT126" s="91"/>
      <c r="QU126" s="91"/>
      <c r="QV126" s="91"/>
      <c r="QW126" s="91"/>
      <c r="QX126" s="91"/>
      <c r="QY126" s="91"/>
      <c r="QZ126" s="91"/>
      <c r="RA126" s="91"/>
      <c r="RB126" s="91"/>
      <c r="RC126" s="91"/>
      <c r="RD126" s="91"/>
      <c r="RE126" s="91"/>
      <c r="RF126" s="91"/>
      <c r="RG126" s="91"/>
      <c r="RH126" s="91"/>
      <c r="RI126" s="91"/>
      <c r="RJ126" s="91"/>
      <c r="RK126" s="91"/>
      <c r="RL126" s="91"/>
      <c r="RM126" s="91"/>
      <c r="RN126" s="91"/>
      <c r="RO126" s="91"/>
      <c r="RP126" s="91"/>
      <c r="RQ126" s="91"/>
      <c r="RR126" s="91"/>
      <c r="RS126" s="91"/>
      <c r="RT126" s="91"/>
      <c r="RU126" s="91"/>
      <c r="RV126" s="91"/>
      <c r="RW126" s="91"/>
      <c r="RX126" s="91"/>
      <c r="RY126" s="91"/>
      <c r="RZ126" s="91"/>
      <c r="SA126" s="91"/>
      <c r="SB126" s="91"/>
      <c r="SC126" s="91"/>
      <c r="SD126" s="91"/>
      <c r="SE126" s="91"/>
      <c r="SF126" s="91"/>
      <c r="SG126" s="91"/>
      <c r="SH126" s="91"/>
      <c r="SI126" s="91"/>
      <c r="SJ126" s="91"/>
      <c r="SK126" s="91"/>
      <c r="SL126" s="91"/>
      <c r="SM126" s="91"/>
      <c r="SN126" s="91"/>
      <c r="SO126" s="91"/>
      <c r="SP126" s="91"/>
      <c r="SQ126" s="91"/>
      <c r="SR126" s="91"/>
      <c r="SS126" s="91"/>
      <c r="ST126" s="91"/>
      <c r="SU126" s="91"/>
      <c r="SV126" s="91"/>
      <c r="SW126" s="91"/>
      <c r="SX126" s="91"/>
      <c r="SY126" s="91"/>
      <c r="SZ126" s="91"/>
      <c r="TA126" s="91"/>
      <c r="TB126" s="91"/>
      <c r="TC126" s="91"/>
      <c r="TD126" s="91"/>
      <c r="TE126" s="91"/>
      <c r="TF126" s="91"/>
      <c r="TG126" s="91"/>
      <c r="TH126" s="91"/>
      <c r="TI126" s="91"/>
      <c r="TJ126" s="91"/>
      <c r="TK126" s="91"/>
      <c r="TL126" s="91"/>
      <c r="TM126" s="91"/>
      <c r="TN126" s="91"/>
      <c r="TO126" s="91"/>
      <c r="TP126" s="91"/>
      <c r="TQ126" s="91"/>
      <c r="TR126" s="91"/>
      <c r="TS126" s="91"/>
      <c r="TT126" s="91"/>
      <c r="TU126" s="91"/>
      <c r="TV126" s="91"/>
      <c r="TW126" s="91"/>
      <c r="TX126" s="91"/>
      <c r="TY126" s="91"/>
      <c r="TZ126" s="91"/>
      <c r="UA126" s="91"/>
      <c r="UB126" s="91"/>
      <c r="UC126" s="91"/>
      <c r="UD126" s="91"/>
      <c r="UE126" s="91"/>
      <c r="UF126" s="91"/>
      <c r="UG126" s="91"/>
      <c r="UH126" s="91"/>
      <c r="UI126" s="91"/>
      <c r="UJ126" s="91"/>
      <c r="UK126" s="91"/>
      <c r="UL126" s="91"/>
      <c r="UM126" s="91"/>
      <c r="UN126" s="91"/>
      <c r="UO126" s="91"/>
      <c r="UP126" s="91"/>
      <c r="UQ126" s="91"/>
      <c r="UR126" s="91"/>
      <c r="US126" s="91"/>
      <c r="UT126" s="91"/>
      <c r="UU126" s="91"/>
      <c r="UV126" s="91"/>
      <c r="UW126" s="91"/>
      <c r="UX126" s="91"/>
      <c r="UY126" s="91"/>
      <c r="UZ126" s="91"/>
      <c r="VA126" s="91"/>
      <c r="VB126" s="91"/>
      <c r="VC126" s="91"/>
      <c r="VD126" s="91"/>
      <c r="VE126" s="91"/>
      <c r="VF126" s="91"/>
      <c r="VG126" s="91"/>
      <c r="VH126" s="91"/>
      <c r="VI126" s="91"/>
      <c r="VJ126" s="91"/>
      <c r="VK126" s="91"/>
      <c r="VL126" s="91"/>
      <c r="VM126" s="91"/>
      <c r="VN126" s="91"/>
      <c r="VO126" s="91"/>
      <c r="VP126" s="91"/>
      <c r="VQ126" s="91"/>
      <c r="VR126" s="91"/>
      <c r="VS126" s="91"/>
      <c r="VT126" s="91"/>
      <c r="VU126" s="91"/>
      <c r="VV126" s="91"/>
      <c r="VW126" s="91"/>
      <c r="VX126" s="91"/>
      <c r="VY126" s="91"/>
      <c r="VZ126" s="91"/>
      <c r="WA126" s="91"/>
      <c r="WB126" s="91"/>
      <c r="WC126" s="91"/>
      <c r="WD126" s="91"/>
      <c r="WE126" s="91"/>
      <c r="WF126" s="91"/>
      <c r="WG126" s="91"/>
      <c r="WH126" s="91"/>
      <c r="WI126" s="91"/>
      <c r="WJ126" s="91"/>
      <c r="WK126" s="91"/>
      <c r="WL126" s="91"/>
      <c r="WM126" s="91"/>
      <c r="WN126" s="91"/>
      <c r="WO126" s="91"/>
      <c r="WP126" s="91"/>
      <c r="WQ126" s="91"/>
      <c r="WR126" s="91"/>
      <c r="WS126" s="91"/>
      <c r="WT126" s="91"/>
      <c r="WU126" s="91"/>
      <c r="WV126" s="91"/>
      <c r="WW126" s="91"/>
      <c r="WX126" s="91"/>
      <c r="WY126" s="91"/>
      <c r="WZ126" s="91"/>
      <c r="XA126" s="91"/>
      <c r="XB126" s="91"/>
      <c r="XC126" s="91"/>
      <c r="XD126" s="91"/>
      <c r="XE126" s="91"/>
      <c r="XF126" s="91"/>
      <c r="XG126" s="91"/>
      <c r="XH126" s="91"/>
      <c r="XI126" s="91"/>
      <c r="XJ126" s="91"/>
      <c r="XK126" s="91"/>
      <c r="XL126" s="91"/>
      <c r="XM126" s="91"/>
      <c r="XN126" s="91"/>
      <c r="XO126" s="91"/>
      <c r="XP126" s="91"/>
      <c r="XQ126" s="91"/>
      <c r="XR126" s="91"/>
      <c r="XS126" s="91"/>
      <c r="XT126" s="91"/>
      <c r="XU126" s="91"/>
      <c r="XV126" s="91"/>
      <c r="XW126" s="91"/>
      <c r="XX126" s="91"/>
      <c r="XY126" s="91"/>
      <c r="XZ126" s="91"/>
      <c r="YA126" s="91"/>
      <c r="YB126" s="91"/>
      <c r="YC126" s="91"/>
      <c r="YD126" s="91"/>
      <c r="YE126" s="91"/>
      <c r="YF126" s="91"/>
      <c r="YG126" s="91"/>
      <c r="YH126" s="91"/>
      <c r="YI126" s="91"/>
      <c r="YJ126" s="91"/>
      <c r="YK126" s="91"/>
      <c r="YL126" s="91"/>
      <c r="YM126" s="91"/>
      <c r="YN126" s="91"/>
      <c r="YO126" s="91"/>
      <c r="YP126" s="91"/>
      <c r="YQ126" s="91"/>
      <c r="YR126" s="91"/>
      <c r="YS126" s="91"/>
      <c r="YT126" s="91"/>
      <c r="YU126" s="91"/>
      <c r="YV126" s="91"/>
      <c r="YW126" s="91"/>
      <c r="YX126" s="91"/>
      <c r="YY126" s="91"/>
      <c r="YZ126" s="91"/>
      <c r="ZA126" s="91"/>
      <c r="ZB126" s="91"/>
      <c r="ZC126" s="91"/>
      <c r="ZD126" s="91"/>
      <c r="ZE126" s="91"/>
      <c r="ZF126" s="91"/>
      <c r="ZG126" s="91"/>
      <c r="ZH126" s="91"/>
      <c r="ZI126" s="91"/>
      <c r="ZJ126" s="91"/>
      <c r="ZK126" s="91"/>
      <c r="ZL126" s="91"/>
      <c r="ZM126" s="91"/>
      <c r="ZN126" s="91"/>
      <c r="ZO126" s="91"/>
      <c r="ZP126" s="91"/>
      <c r="ZQ126" s="91"/>
      <c r="ZR126" s="91"/>
      <c r="ZS126" s="91"/>
      <c r="ZT126" s="91"/>
      <c r="ZU126" s="91"/>
      <c r="ZV126" s="91"/>
      <c r="ZW126" s="91"/>
      <c r="ZX126" s="91"/>
      <c r="ZY126" s="91"/>
      <c r="ZZ126" s="91"/>
      <c r="AAA126" s="91"/>
      <c r="AAB126" s="91"/>
      <c r="AAC126" s="91"/>
      <c r="AAD126" s="91"/>
      <c r="AAE126" s="91"/>
      <c r="AAF126" s="91"/>
      <c r="AAG126" s="91"/>
      <c r="AAH126" s="91"/>
      <c r="AAI126" s="91"/>
      <c r="AAJ126" s="91"/>
      <c r="AAK126" s="91"/>
      <c r="AAL126" s="91"/>
      <c r="AAM126" s="91"/>
      <c r="AAN126" s="91"/>
      <c r="AAO126" s="91"/>
      <c r="AAP126" s="91"/>
      <c r="AAQ126" s="91"/>
      <c r="AAR126" s="91"/>
      <c r="AAS126" s="91"/>
      <c r="AAT126" s="91"/>
      <c r="AAU126" s="91"/>
      <c r="AAV126" s="91"/>
      <c r="AAW126" s="91"/>
      <c r="AAX126" s="91"/>
      <c r="AAY126" s="91"/>
      <c r="AAZ126" s="91"/>
      <c r="ABA126" s="91"/>
      <c r="ABB126" s="91"/>
      <c r="ABC126" s="91"/>
      <c r="ABD126" s="91"/>
      <c r="ABE126" s="91"/>
      <c r="ABF126" s="91"/>
      <c r="ABG126" s="91"/>
      <c r="ABH126" s="91"/>
      <c r="ABI126" s="91"/>
      <c r="ABJ126" s="91"/>
      <c r="ABK126" s="91"/>
      <c r="ABL126" s="91"/>
      <c r="ABM126" s="91"/>
      <c r="ABN126" s="91"/>
      <c r="ABO126" s="91"/>
      <c r="ABP126" s="91"/>
      <c r="ABQ126" s="91"/>
      <c r="ABR126" s="91"/>
      <c r="ABS126" s="91"/>
      <c r="ABT126" s="91"/>
      <c r="ABU126" s="91"/>
      <c r="ABV126" s="91"/>
      <c r="ABW126" s="91"/>
      <c r="ABX126" s="91"/>
      <c r="ABY126" s="91"/>
      <c r="ABZ126" s="91"/>
      <c r="ACA126" s="91"/>
      <c r="ACB126" s="91"/>
      <c r="ACC126" s="91"/>
      <c r="ACD126" s="91"/>
      <c r="ACE126" s="91"/>
      <c r="ACF126" s="91"/>
      <c r="ACG126" s="91"/>
      <c r="ACH126" s="91"/>
      <c r="ACI126" s="91"/>
      <c r="ACJ126" s="91"/>
      <c r="ACK126" s="91"/>
      <c r="ACL126" s="91"/>
      <c r="ACM126" s="91"/>
      <c r="ACN126" s="91"/>
      <c r="ACO126" s="91"/>
      <c r="ACP126" s="91"/>
      <c r="ACQ126" s="91"/>
      <c r="ACR126" s="91"/>
      <c r="ACS126" s="91"/>
      <c r="ACT126" s="91"/>
      <c r="ACU126" s="91"/>
      <c r="ACV126" s="91"/>
      <c r="ACW126" s="91"/>
      <c r="ACX126" s="91"/>
      <c r="ACY126" s="91"/>
      <c r="ACZ126" s="91"/>
      <c r="ADA126" s="91"/>
      <c r="ADB126" s="91"/>
      <c r="ADC126" s="91"/>
      <c r="ADD126" s="91"/>
      <c r="ADE126" s="91"/>
      <c r="ADF126" s="91"/>
      <c r="ADG126" s="91"/>
      <c r="ADH126" s="91"/>
      <c r="ADI126" s="91"/>
      <c r="ADJ126" s="91"/>
      <c r="ADK126" s="91"/>
      <c r="ADL126" s="91"/>
      <c r="ADM126" s="91"/>
      <c r="ADN126" s="91"/>
      <c r="ADO126" s="91"/>
      <c r="ADP126" s="91"/>
      <c r="ADQ126" s="91"/>
      <c r="ADR126" s="91"/>
      <c r="ADS126" s="91"/>
      <c r="ADT126" s="91"/>
      <c r="ADU126" s="91"/>
      <c r="ADV126" s="91"/>
      <c r="ADW126" s="91"/>
      <c r="ADX126" s="91"/>
      <c r="ADY126" s="91"/>
      <c r="ADZ126" s="91"/>
      <c r="AEA126" s="91"/>
      <c r="AEB126" s="91"/>
      <c r="AEC126" s="91"/>
      <c r="AED126" s="91"/>
      <c r="AEE126" s="91"/>
      <c r="AEF126" s="91"/>
      <c r="AEG126" s="91"/>
      <c r="AEH126" s="91"/>
      <c r="AEI126" s="91"/>
      <c r="AEJ126" s="91"/>
      <c r="AEK126" s="91"/>
      <c r="AEL126" s="91"/>
      <c r="AEM126" s="91"/>
      <c r="AEN126" s="91"/>
      <c r="AEO126" s="91"/>
      <c r="AEP126" s="91"/>
      <c r="AEQ126" s="91"/>
      <c r="AER126" s="91"/>
      <c r="AES126" s="91"/>
      <c r="AET126" s="91"/>
      <c r="AEU126" s="91"/>
      <c r="AEV126" s="91"/>
      <c r="AEW126" s="91"/>
      <c r="AEX126" s="91"/>
      <c r="AEY126" s="91"/>
      <c r="AEZ126" s="91"/>
      <c r="AFA126" s="91"/>
      <c r="AFB126" s="91"/>
      <c r="AFC126" s="91"/>
      <c r="AFD126" s="91"/>
      <c r="AFE126" s="91"/>
      <c r="AFF126" s="91"/>
      <c r="AFG126" s="91"/>
      <c r="AFH126" s="91"/>
      <c r="AFI126" s="91"/>
      <c r="AFJ126" s="91"/>
      <c r="AFK126" s="91"/>
      <c r="AFL126" s="91"/>
      <c r="AFM126" s="91"/>
      <c r="AFN126" s="91"/>
      <c r="AFO126" s="91"/>
      <c r="AFP126" s="91"/>
      <c r="AFQ126" s="91"/>
      <c r="AFR126" s="91"/>
      <c r="AFS126" s="91"/>
      <c r="AFT126" s="91"/>
      <c r="AFU126" s="91"/>
      <c r="AFV126" s="91"/>
      <c r="AFW126" s="91"/>
      <c r="AFX126" s="91"/>
      <c r="AFY126" s="91"/>
      <c r="AFZ126" s="91"/>
      <c r="AGA126" s="91"/>
      <c r="AGB126" s="91"/>
      <c r="AGC126" s="91"/>
      <c r="AGD126" s="91"/>
      <c r="AGE126" s="91"/>
      <c r="AGF126" s="91"/>
      <c r="AGG126" s="91"/>
      <c r="AGH126" s="91"/>
      <c r="AGI126" s="91"/>
      <c r="AGJ126" s="91"/>
      <c r="AGK126" s="91"/>
      <c r="AGL126" s="91"/>
      <c r="AGM126" s="91"/>
      <c r="AGN126" s="91"/>
      <c r="AGO126" s="91"/>
      <c r="AGP126" s="91"/>
      <c r="AGQ126" s="91"/>
      <c r="AGR126" s="91"/>
      <c r="AGS126" s="91"/>
      <c r="AGT126" s="91"/>
      <c r="AGU126" s="91"/>
      <c r="AGV126" s="91"/>
      <c r="AGW126" s="91"/>
      <c r="AGX126" s="91"/>
      <c r="AGY126" s="91"/>
      <c r="AGZ126" s="91"/>
      <c r="AHA126" s="91"/>
      <c r="AHB126" s="91"/>
      <c r="AHC126" s="91"/>
      <c r="AHD126" s="91"/>
      <c r="AHE126" s="91"/>
      <c r="AHF126" s="91"/>
      <c r="AHG126" s="91"/>
      <c r="AHH126" s="91"/>
      <c r="AHI126" s="91"/>
      <c r="AHJ126" s="91"/>
      <c r="AHK126" s="91"/>
      <c r="AHL126" s="91"/>
      <c r="AHM126" s="91"/>
      <c r="AHN126" s="91"/>
      <c r="AHO126" s="91"/>
      <c r="AHP126" s="91"/>
      <c r="AHQ126" s="91"/>
      <c r="AHR126" s="91"/>
      <c r="AHS126" s="91"/>
      <c r="AHT126" s="91"/>
      <c r="AHU126" s="91"/>
      <c r="AHV126" s="91"/>
      <c r="AHW126" s="91"/>
      <c r="AHX126" s="91"/>
      <c r="AHY126" s="91"/>
      <c r="AHZ126" s="91"/>
      <c r="AIA126" s="91"/>
      <c r="AIB126" s="91"/>
      <c r="AIC126" s="91"/>
      <c r="AID126" s="91"/>
      <c r="AIE126" s="91"/>
      <c r="AIF126" s="91"/>
      <c r="AIG126" s="91"/>
      <c r="AIH126" s="91"/>
      <c r="AII126" s="91"/>
      <c r="AIJ126" s="91"/>
      <c r="AIK126" s="91"/>
      <c r="AIL126" s="91"/>
      <c r="AIM126" s="91"/>
      <c r="AIN126" s="91"/>
      <c r="AIO126" s="91"/>
      <c r="AIP126" s="91"/>
      <c r="AIQ126" s="91"/>
      <c r="AIR126" s="91"/>
      <c r="AIS126" s="91"/>
      <c r="AIT126" s="91"/>
      <c r="AIU126" s="91"/>
      <c r="AIV126" s="91"/>
      <c r="AIW126" s="91"/>
      <c r="AIX126" s="91"/>
      <c r="AIY126" s="91"/>
      <c r="AIZ126" s="91"/>
      <c r="AJA126" s="91"/>
      <c r="AJB126" s="91"/>
      <c r="AJC126" s="91"/>
      <c r="AJD126" s="91"/>
      <c r="AJE126" s="91"/>
      <c r="AJF126" s="91"/>
      <c r="AJG126" s="91"/>
      <c r="AJH126" s="91"/>
      <c r="AJI126" s="91"/>
      <c r="AJJ126" s="91"/>
      <c r="AJK126" s="91"/>
      <c r="AJL126" s="91"/>
      <c r="AJM126" s="91"/>
      <c r="AJN126" s="91"/>
      <c r="AJO126" s="91"/>
      <c r="AJP126" s="91"/>
      <c r="AJQ126" s="91"/>
      <c r="AJR126" s="91"/>
      <c r="AJS126" s="91"/>
      <c r="AJT126" s="91"/>
      <c r="AJU126" s="91"/>
      <c r="AJV126" s="91"/>
      <c r="AJW126" s="91"/>
      <c r="AJX126" s="91"/>
      <c r="AJY126" s="91"/>
      <c r="AJZ126" s="91"/>
      <c r="AKA126" s="91"/>
      <c r="AKB126" s="91"/>
      <c r="AKC126" s="91"/>
      <c r="AKD126" s="91"/>
      <c r="AKE126" s="91"/>
      <c r="AKF126" s="91"/>
      <c r="AKG126" s="91"/>
      <c r="AKH126" s="91"/>
      <c r="AKI126" s="91"/>
      <c r="AKJ126" s="91"/>
      <c r="AKK126" s="91"/>
      <c r="AKL126" s="91"/>
      <c r="AKM126" s="91"/>
      <c r="AKN126" s="91"/>
      <c r="AKO126" s="91"/>
      <c r="AKP126" s="91"/>
      <c r="AKQ126" s="91"/>
      <c r="AKR126" s="91"/>
      <c r="AKS126" s="91"/>
      <c r="AKT126" s="91"/>
      <c r="AKU126" s="91"/>
      <c r="AKV126" s="91"/>
      <c r="AKW126" s="91"/>
      <c r="AKX126" s="91"/>
      <c r="AKY126" s="91"/>
      <c r="AKZ126" s="91"/>
      <c r="ALA126" s="91"/>
      <c r="ALB126" s="91"/>
      <c r="ALC126" s="91"/>
      <c r="ALD126" s="91"/>
      <c r="ALE126" s="91"/>
      <c r="ALF126" s="91"/>
      <c r="ALG126" s="91"/>
      <c r="ALH126" s="91"/>
      <c r="ALI126" s="91"/>
      <c r="ALJ126" s="91"/>
      <c r="ALK126" s="91"/>
      <c r="ALL126" s="91"/>
      <c r="ALM126" s="91"/>
      <c r="ALN126" s="91"/>
      <c r="ALO126" s="91"/>
      <c r="ALP126" s="91"/>
      <c r="ALQ126" s="91"/>
      <c r="ALR126" s="91"/>
      <c r="ALS126" s="91"/>
      <c r="ALT126" s="91"/>
      <c r="ALU126" s="91"/>
      <c r="ALV126" s="91"/>
      <c r="ALW126" s="91"/>
      <c r="ALX126" s="91"/>
      <c r="ALY126" s="91"/>
      <c r="ALZ126" s="91"/>
      <c r="AMA126" s="91"/>
      <c r="AMB126" s="91"/>
      <c r="AMC126" s="91"/>
      <c r="AMD126" s="91"/>
      <c r="AME126" s="91"/>
      <c r="AMF126" s="91"/>
      <c r="AMG126" s="91"/>
      <c r="AMH126" s="91"/>
      <c r="AMI126" s="91"/>
      <c r="AMJ126" s="91"/>
      <c r="AMK126" s="91"/>
      <c r="AML126" s="91"/>
      <c r="AMM126" s="91"/>
      <c r="AMN126" s="91"/>
      <c r="AMO126" s="91"/>
      <c r="AMP126" s="91"/>
      <c r="AMQ126" s="91"/>
      <c r="AMR126" s="91"/>
      <c r="AMS126" s="91"/>
      <c r="AMT126" s="91"/>
      <c r="AMU126" s="91"/>
      <c r="AMV126" s="91"/>
      <c r="AMW126" s="91"/>
      <c r="AMX126" s="91"/>
    </row>
    <row r="127" spans="1:1038" s="5" customFormat="1" ht="27.4" customHeight="1" x14ac:dyDescent="0.4">
      <c r="A127" s="103">
        <v>90</v>
      </c>
      <c r="B127" s="104" t="s">
        <v>322</v>
      </c>
      <c r="C127" s="105" t="s">
        <v>290</v>
      </c>
      <c r="D127" s="106" t="s">
        <v>159</v>
      </c>
      <c r="E127" s="106"/>
      <c r="F127" s="106" t="s">
        <v>277</v>
      </c>
      <c r="G127" s="107"/>
      <c r="H127" s="108">
        <v>46203</v>
      </c>
      <c r="I127" s="109"/>
      <c r="J127" s="110">
        <v>44.709000000000003</v>
      </c>
      <c r="K127" s="188">
        <v>10.608700000000001</v>
      </c>
      <c r="L127" s="23"/>
      <c r="M127" s="23"/>
      <c r="N127" s="208"/>
      <c r="O127" s="112">
        <v>0</v>
      </c>
      <c r="P127" s="111">
        <v>180000</v>
      </c>
      <c r="Q127" s="112"/>
      <c r="R127" s="111"/>
      <c r="S127" s="112"/>
      <c r="T127" s="113"/>
      <c r="U127" s="113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  <c r="CD127" s="91"/>
      <c r="CE127" s="91"/>
      <c r="CF127" s="91"/>
      <c r="CG127" s="91"/>
      <c r="CH127" s="91"/>
      <c r="CI127" s="91"/>
      <c r="CJ127" s="91"/>
      <c r="CK127" s="91"/>
      <c r="CL127" s="91"/>
      <c r="CM127" s="91"/>
      <c r="CN127" s="91"/>
      <c r="CO127" s="91"/>
      <c r="CP127" s="91"/>
      <c r="CQ127" s="91"/>
      <c r="CR127" s="91"/>
      <c r="CS127" s="91"/>
      <c r="CT127" s="91"/>
      <c r="CU127" s="91"/>
      <c r="CV127" s="91"/>
      <c r="CW127" s="91"/>
      <c r="CX127" s="91"/>
      <c r="CY127" s="91"/>
      <c r="CZ127" s="91"/>
      <c r="DA127" s="91"/>
      <c r="DB127" s="91"/>
      <c r="DC127" s="91"/>
      <c r="DD127" s="91"/>
      <c r="DE127" s="91"/>
      <c r="DF127" s="91"/>
      <c r="DG127" s="91"/>
      <c r="DH127" s="91"/>
      <c r="DI127" s="91"/>
      <c r="DJ127" s="91"/>
      <c r="DK127" s="91"/>
      <c r="DL127" s="91"/>
      <c r="DM127" s="91"/>
      <c r="DN127" s="91"/>
      <c r="DO127" s="91"/>
      <c r="DP127" s="91"/>
      <c r="DQ127" s="91"/>
      <c r="DR127" s="91"/>
      <c r="DS127" s="91"/>
      <c r="DT127" s="91"/>
      <c r="DU127" s="91"/>
      <c r="DV127" s="91"/>
      <c r="DW127" s="91"/>
      <c r="DX127" s="91"/>
      <c r="DY127" s="91"/>
      <c r="DZ127" s="91"/>
      <c r="EA127" s="91"/>
      <c r="EB127" s="91"/>
      <c r="EC127" s="91"/>
      <c r="ED127" s="91"/>
      <c r="EE127" s="91"/>
      <c r="EF127" s="91"/>
      <c r="EG127" s="91"/>
      <c r="EH127" s="91"/>
      <c r="EI127" s="91"/>
      <c r="EJ127" s="91"/>
      <c r="EK127" s="91"/>
      <c r="EL127" s="91"/>
      <c r="EM127" s="91"/>
      <c r="EN127" s="91"/>
      <c r="EO127" s="91"/>
      <c r="EP127" s="91"/>
      <c r="EQ127" s="91"/>
      <c r="ER127" s="91"/>
      <c r="ES127" s="91"/>
      <c r="ET127" s="91"/>
      <c r="EU127" s="91"/>
      <c r="EV127" s="91"/>
      <c r="EW127" s="91"/>
      <c r="EX127" s="91"/>
      <c r="EY127" s="91"/>
      <c r="EZ127" s="91"/>
      <c r="FA127" s="91"/>
      <c r="FB127" s="91"/>
      <c r="FC127" s="91"/>
      <c r="FD127" s="91"/>
      <c r="FE127" s="91"/>
      <c r="FF127" s="91"/>
      <c r="FG127" s="91"/>
      <c r="FH127" s="91"/>
      <c r="FI127" s="91"/>
      <c r="FJ127" s="91"/>
      <c r="FK127" s="91"/>
      <c r="FL127" s="91"/>
      <c r="FM127" s="91"/>
      <c r="FN127" s="91"/>
      <c r="FO127" s="91"/>
      <c r="FP127" s="91"/>
      <c r="FQ127" s="91"/>
      <c r="FR127" s="91"/>
      <c r="FS127" s="91"/>
      <c r="FT127" s="91"/>
      <c r="FU127" s="91"/>
      <c r="FV127" s="91"/>
      <c r="FW127" s="91"/>
      <c r="FX127" s="91"/>
      <c r="FY127" s="91"/>
      <c r="FZ127" s="91"/>
      <c r="GA127" s="91"/>
      <c r="GB127" s="91"/>
      <c r="GC127" s="91"/>
      <c r="GD127" s="91"/>
      <c r="GE127" s="91"/>
      <c r="GF127" s="91"/>
      <c r="GG127" s="91"/>
      <c r="GH127" s="91"/>
      <c r="GI127" s="91"/>
      <c r="GJ127" s="91"/>
      <c r="GK127" s="91"/>
      <c r="GL127" s="91"/>
      <c r="GM127" s="91"/>
      <c r="GN127" s="91"/>
      <c r="GO127" s="91"/>
      <c r="GP127" s="91"/>
      <c r="GQ127" s="91"/>
      <c r="GR127" s="91"/>
      <c r="GS127" s="91"/>
      <c r="GT127" s="91"/>
      <c r="GU127" s="91"/>
      <c r="GV127" s="91"/>
      <c r="GW127" s="91"/>
      <c r="GX127" s="91"/>
      <c r="GY127" s="91"/>
      <c r="GZ127" s="91"/>
      <c r="HA127" s="91"/>
      <c r="HB127" s="91"/>
      <c r="HC127" s="91"/>
      <c r="HD127" s="91"/>
      <c r="HE127" s="91"/>
      <c r="HF127" s="91"/>
      <c r="HG127" s="91"/>
      <c r="HH127" s="91"/>
      <c r="HI127" s="91"/>
      <c r="HJ127" s="91"/>
      <c r="HK127" s="91"/>
      <c r="HL127" s="91"/>
      <c r="HM127" s="91"/>
      <c r="HN127" s="91"/>
      <c r="HO127" s="91"/>
      <c r="HP127" s="91"/>
      <c r="HQ127" s="91"/>
      <c r="HR127" s="91"/>
      <c r="HS127" s="91"/>
      <c r="HT127" s="91"/>
      <c r="HU127" s="91"/>
      <c r="HV127" s="91"/>
      <c r="HW127" s="91"/>
      <c r="HX127" s="91"/>
      <c r="HY127" s="91"/>
      <c r="HZ127" s="91"/>
      <c r="IA127" s="91"/>
      <c r="IB127" s="91"/>
      <c r="IC127" s="91"/>
      <c r="ID127" s="91"/>
      <c r="IE127" s="91"/>
      <c r="IF127" s="91"/>
      <c r="IG127" s="91"/>
      <c r="IH127" s="91"/>
      <c r="II127" s="91"/>
      <c r="IJ127" s="91"/>
      <c r="IK127" s="91"/>
      <c r="IL127" s="91"/>
      <c r="IM127" s="91"/>
      <c r="IN127" s="91"/>
      <c r="IO127" s="91"/>
      <c r="IP127" s="91"/>
      <c r="IQ127" s="91"/>
      <c r="IR127" s="91"/>
      <c r="IS127" s="91"/>
      <c r="IT127" s="91"/>
      <c r="IU127" s="91"/>
      <c r="IV127" s="91"/>
      <c r="IW127" s="91"/>
      <c r="IX127" s="91"/>
      <c r="IY127" s="91"/>
      <c r="IZ127" s="91"/>
      <c r="JA127" s="91"/>
      <c r="JB127" s="91"/>
      <c r="JC127" s="91"/>
      <c r="JD127" s="91"/>
      <c r="JE127" s="91"/>
      <c r="JF127" s="91"/>
      <c r="JG127" s="91"/>
      <c r="JH127" s="91"/>
      <c r="JI127" s="91"/>
      <c r="JJ127" s="91"/>
      <c r="JK127" s="91"/>
      <c r="JL127" s="91"/>
      <c r="JM127" s="91"/>
      <c r="JN127" s="91"/>
      <c r="JO127" s="91"/>
      <c r="JP127" s="91"/>
      <c r="JQ127" s="91"/>
      <c r="JR127" s="91"/>
      <c r="JS127" s="91"/>
      <c r="JT127" s="91"/>
      <c r="JU127" s="91"/>
      <c r="JV127" s="91"/>
      <c r="JW127" s="91"/>
      <c r="JX127" s="91"/>
      <c r="JY127" s="91"/>
      <c r="JZ127" s="91"/>
      <c r="KA127" s="91"/>
      <c r="KB127" s="91"/>
      <c r="KC127" s="91"/>
      <c r="KD127" s="91"/>
      <c r="KE127" s="91"/>
      <c r="KF127" s="91"/>
      <c r="KG127" s="91"/>
      <c r="KH127" s="91"/>
      <c r="KI127" s="91"/>
      <c r="KJ127" s="91"/>
      <c r="KK127" s="91"/>
      <c r="KL127" s="91"/>
      <c r="KM127" s="91"/>
      <c r="KN127" s="91"/>
      <c r="KO127" s="91"/>
      <c r="KP127" s="91"/>
      <c r="KQ127" s="91"/>
      <c r="KR127" s="91"/>
      <c r="KS127" s="91"/>
      <c r="KT127" s="91"/>
      <c r="KU127" s="91"/>
      <c r="KV127" s="91"/>
      <c r="KW127" s="91"/>
      <c r="KX127" s="91"/>
      <c r="KY127" s="91"/>
      <c r="KZ127" s="91"/>
      <c r="LA127" s="91"/>
      <c r="LB127" s="91"/>
      <c r="LC127" s="91"/>
      <c r="LD127" s="91"/>
      <c r="LE127" s="91"/>
      <c r="LF127" s="91"/>
      <c r="LG127" s="91"/>
      <c r="LH127" s="91"/>
      <c r="LI127" s="91"/>
      <c r="LJ127" s="91"/>
      <c r="LK127" s="91"/>
      <c r="LL127" s="91"/>
      <c r="LM127" s="91"/>
      <c r="LN127" s="91"/>
      <c r="LO127" s="91"/>
      <c r="LP127" s="91"/>
      <c r="LQ127" s="91"/>
      <c r="LR127" s="91"/>
      <c r="LS127" s="91"/>
      <c r="LT127" s="91"/>
      <c r="LU127" s="91"/>
      <c r="LV127" s="91"/>
      <c r="LW127" s="91"/>
      <c r="LX127" s="91"/>
      <c r="LY127" s="91"/>
      <c r="LZ127" s="91"/>
      <c r="MA127" s="91"/>
      <c r="MB127" s="91"/>
      <c r="MC127" s="91"/>
      <c r="MD127" s="91"/>
      <c r="ME127" s="91"/>
      <c r="MF127" s="91"/>
      <c r="MG127" s="91"/>
      <c r="MH127" s="91"/>
      <c r="MI127" s="91"/>
      <c r="MJ127" s="91"/>
      <c r="MK127" s="91"/>
      <c r="ML127" s="91"/>
      <c r="MM127" s="91"/>
      <c r="MN127" s="91"/>
      <c r="MO127" s="91"/>
      <c r="MP127" s="91"/>
      <c r="MQ127" s="91"/>
      <c r="MR127" s="91"/>
      <c r="MS127" s="91"/>
      <c r="MT127" s="91"/>
      <c r="MU127" s="91"/>
      <c r="MV127" s="91"/>
      <c r="MW127" s="91"/>
      <c r="MX127" s="91"/>
      <c r="MY127" s="91"/>
      <c r="MZ127" s="91"/>
      <c r="NA127" s="91"/>
      <c r="NB127" s="91"/>
      <c r="NC127" s="91"/>
      <c r="ND127" s="91"/>
      <c r="NE127" s="91"/>
      <c r="NF127" s="91"/>
      <c r="NG127" s="91"/>
      <c r="NH127" s="91"/>
      <c r="NI127" s="91"/>
      <c r="NJ127" s="91"/>
      <c r="NK127" s="91"/>
      <c r="NL127" s="91"/>
      <c r="NM127" s="91"/>
      <c r="NN127" s="91"/>
      <c r="NO127" s="91"/>
      <c r="NP127" s="91"/>
      <c r="NQ127" s="91"/>
      <c r="NR127" s="91"/>
      <c r="NS127" s="91"/>
      <c r="NT127" s="91"/>
      <c r="NU127" s="91"/>
      <c r="NV127" s="91"/>
      <c r="NW127" s="91"/>
      <c r="NX127" s="91"/>
      <c r="NY127" s="91"/>
      <c r="NZ127" s="91"/>
      <c r="OA127" s="91"/>
      <c r="OB127" s="91"/>
      <c r="OC127" s="91"/>
      <c r="OD127" s="91"/>
      <c r="OE127" s="91"/>
      <c r="OF127" s="91"/>
      <c r="OG127" s="91"/>
      <c r="OH127" s="91"/>
      <c r="OI127" s="91"/>
      <c r="OJ127" s="91"/>
      <c r="OK127" s="91"/>
      <c r="OL127" s="91"/>
      <c r="OM127" s="91"/>
      <c r="ON127" s="91"/>
      <c r="OO127" s="91"/>
      <c r="OP127" s="91"/>
      <c r="OQ127" s="91"/>
      <c r="OR127" s="91"/>
      <c r="OS127" s="91"/>
      <c r="OT127" s="91"/>
      <c r="OU127" s="91"/>
      <c r="OV127" s="91"/>
      <c r="OW127" s="91"/>
      <c r="OX127" s="91"/>
      <c r="OY127" s="91"/>
      <c r="OZ127" s="91"/>
      <c r="PA127" s="91"/>
      <c r="PB127" s="91"/>
      <c r="PC127" s="91"/>
      <c r="PD127" s="91"/>
      <c r="PE127" s="91"/>
      <c r="PF127" s="91"/>
      <c r="PG127" s="91"/>
      <c r="PH127" s="91"/>
      <c r="PI127" s="91"/>
      <c r="PJ127" s="91"/>
      <c r="PK127" s="91"/>
      <c r="PL127" s="91"/>
      <c r="PM127" s="91"/>
      <c r="PN127" s="91"/>
      <c r="PO127" s="91"/>
      <c r="PP127" s="91"/>
      <c r="PQ127" s="91"/>
      <c r="PR127" s="91"/>
      <c r="PS127" s="91"/>
      <c r="PT127" s="91"/>
      <c r="PU127" s="91"/>
      <c r="PV127" s="91"/>
      <c r="PW127" s="91"/>
      <c r="PX127" s="91"/>
      <c r="PY127" s="91"/>
      <c r="PZ127" s="91"/>
      <c r="QA127" s="91"/>
      <c r="QB127" s="91"/>
      <c r="QC127" s="91"/>
      <c r="QD127" s="91"/>
      <c r="QE127" s="91"/>
      <c r="QF127" s="91"/>
      <c r="QG127" s="91"/>
      <c r="QH127" s="91"/>
      <c r="QI127" s="91"/>
      <c r="QJ127" s="91"/>
      <c r="QK127" s="91"/>
      <c r="QL127" s="91"/>
      <c r="QM127" s="91"/>
      <c r="QN127" s="91"/>
      <c r="QO127" s="91"/>
      <c r="QP127" s="91"/>
      <c r="QQ127" s="91"/>
      <c r="QR127" s="91"/>
      <c r="QS127" s="91"/>
      <c r="QT127" s="91"/>
      <c r="QU127" s="91"/>
      <c r="QV127" s="91"/>
      <c r="QW127" s="91"/>
      <c r="QX127" s="91"/>
      <c r="QY127" s="91"/>
      <c r="QZ127" s="91"/>
      <c r="RA127" s="91"/>
      <c r="RB127" s="91"/>
      <c r="RC127" s="91"/>
      <c r="RD127" s="91"/>
      <c r="RE127" s="91"/>
      <c r="RF127" s="91"/>
      <c r="RG127" s="91"/>
      <c r="RH127" s="91"/>
      <c r="RI127" s="91"/>
      <c r="RJ127" s="91"/>
      <c r="RK127" s="91"/>
      <c r="RL127" s="91"/>
      <c r="RM127" s="91"/>
      <c r="RN127" s="91"/>
      <c r="RO127" s="91"/>
      <c r="RP127" s="91"/>
      <c r="RQ127" s="91"/>
      <c r="RR127" s="91"/>
      <c r="RS127" s="91"/>
      <c r="RT127" s="91"/>
      <c r="RU127" s="91"/>
      <c r="RV127" s="91"/>
      <c r="RW127" s="91"/>
      <c r="RX127" s="91"/>
      <c r="RY127" s="91"/>
      <c r="RZ127" s="91"/>
      <c r="SA127" s="91"/>
      <c r="SB127" s="91"/>
      <c r="SC127" s="91"/>
      <c r="SD127" s="91"/>
      <c r="SE127" s="91"/>
      <c r="SF127" s="91"/>
      <c r="SG127" s="91"/>
      <c r="SH127" s="91"/>
      <c r="SI127" s="91"/>
      <c r="SJ127" s="91"/>
      <c r="SK127" s="91"/>
      <c r="SL127" s="91"/>
      <c r="SM127" s="91"/>
      <c r="SN127" s="91"/>
      <c r="SO127" s="91"/>
      <c r="SP127" s="91"/>
      <c r="SQ127" s="91"/>
      <c r="SR127" s="91"/>
      <c r="SS127" s="91"/>
      <c r="ST127" s="91"/>
      <c r="SU127" s="91"/>
      <c r="SV127" s="91"/>
      <c r="SW127" s="91"/>
      <c r="SX127" s="91"/>
      <c r="SY127" s="91"/>
      <c r="SZ127" s="91"/>
      <c r="TA127" s="91"/>
      <c r="TB127" s="91"/>
      <c r="TC127" s="91"/>
      <c r="TD127" s="91"/>
      <c r="TE127" s="91"/>
      <c r="TF127" s="91"/>
      <c r="TG127" s="91"/>
      <c r="TH127" s="91"/>
      <c r="TI127" s="91"/>
      <c r="TJ127" s="91"/>
      <c r="TK127" s="91"/>
      <c r="TL127" s="91"/>
      <c r="TM127" s="91"/>
      <c r="TN127" s="91"/>
      <c r="TO127" s="91"/>
      <c r="TP127" s="91"/>
      <c r="TQ127" s="91"/>
      <c r="TR127" s="91"/>
      <c r="TS127" s="91"/>
      <c r="TT127" s="91"/>
      <c r="TU127" s="91"/>
      <c r="TV127" s="91"/>
      <c r="TW127" s="91"/>
      <c r="TX127" s="91"/>
      <c r="TY127" s="91"/>
      <c r="TZ127" s="91"/>
      <c r="UA127" s="91"/>
      <c r="UB127" s="91"/>
      <c r="UC127" s="91"/>
      <c r="UD127" s="91"/>
      <c r="UE127" s="91"/>
      <c r="UF127" s="91"/>
      <c r="UG127" s="91"/>
      <c r="UH127" s="91"/>
      <c r="UI127" s="91"/>
      <c r="UJ127" s="91"/>
      <c r="UK127" s="91"/>
      <c r="UL127" s="91"/>
      <c r="UM127" s="91"/>
      <c r="UN127" s="91"/>
      <c r="UO127" s="91"/>
      <c r="UP127" s="91"/>
      <c r="UQ127" s="91"/>
      <c r="UR127" s="91"/>
      <c r="US127" s="91"/>
      <c r="UT127" s="91"/>
      <c r="UU127" s="91"/>
      <c r="UV127" s="91"/>
      <c r="UW127" s="91"/>
      <c r="UX127" s="91"/>
      <c r="UY127" s="91"/>
      <c r="UZ127" s="91"/>
      <c r="VA127" s="91"/>
      <c r="VB127" s="91"/>
      <c r="VC127" s="91"/>
      <c r="VD127" s="91"/>
      <c r="VE127" s="91"/>
      <c r="VF127" s="91"/>
      <c r="VG127" s="91"/>
      <c r="VH127" s="91"/>
      <c r="VI127" s="91"/>
      <c r="VJ127" s="91"/>
      <c r="VK127" s="91"/>
      <c r="VL127" s="91"/>
      <c r="VM127" s="91"/>
      <c r="VN127" s="91"/>
      <c r="VO127" s="91"/>
      <c r="VP127" s="91"/>
      <c r="VQ127" s="91"/>
      <c r="VR127" s="91"/>
      <c r="VS127" s="91"/>
      <c r="VT127" s="91"/>
      <c r="VU127" s="91"/>
      <c r="VV127" s="91"/>
      <c r="VW127" s="91"/>
      <c r="VX127" s="91"/>
      <c r="VY127" s="91"/>
      <c r="VZ127" s="91"/>
      <c r="WA127" s="91"/>
      <c r="WB127" s="91"/>
      <c r="WC127" s="91"/>
      <c r="WD127" s="91"/>
      <c r="WE127" s="91"/>
      <c r="WF127" s="91"/>
      <c r="WG127" s="91"/>
      <c r="WH127" s="91"/>
      <c r="WI127" s="91"/>
      <c r="WJ127" s="91"/>
      <c r="WK127" s="91"/>
      <c r="WL127" s="91"/>
      <c r="WM127" s="91"/>
      <c r="WN127" s="91"/>
      <c r="WO127" s="91"/>
      <c r="WP127" s="91"/>
      <c r="WQ127" s="91"/>
      <c r="WR127" s="91"/>
      <c r="WS127" s="91"/>
      <c r="WT127" s="91"/>
      <c r="WU127" s="91"/>
      <c r="WV127" s="91"/>
      <c r="WW127" s="91"/>
      <c r="WX127" s="91"/>
      <c r="WY127" s="91"/>
      <c r="WZ127" s="91"/>
      <c r="XA127" s="91"/>
      <c r="XB127" s="91"/>
      <c r="XC127" s="91"/>
      <c r="XD127" s="91"/>
      <c r="XE127" s="91"/>
      <c r="XF127" s="91"/>
      <c r="XG127" s="91"/>
      <c r="XH127" s="91"/>
      <c r="XI127" s="91"/>
      <c r="XJ127" s="91"/>
      <c r="XK127" s="91"/>
      <c r="XL127" s="91"/>
      <c r="XM127" s="91"/>
      <c r="XN127" s="91"/>
      <c r="XO127" s="91"/>
      <c r="XP127" s="91"/>
      <c r="XQ127" s="91"/>
      <c r="XR127" s="91"/>
      <c r="XS127" s="91"/>
      <c r="XT127" s="91"/>
      <c r="XU127" s="91"/>
      <c r="XV127" s="91"/>
      <c r="XW127" s="91"/>
      <c r="XX127" s="91"/>
      <c r="XY127" s="91"/>
      <c r="XZ127" s="91"/>
      <c r="YA127" s="91"/>
      <c r="YB127" s="91"/>
      <c r="YC127" s="91"/>
      <c r="YD127" s="91"/>
      <c r="YE127" s="91"/>
      <c r="YF127" s="91"/>
      <c r="YG127" s="91"/>
      <c r="YH127" s="91"/>
      <c r="YI127" s="91"/>
      <c r="YJ127" s="91"/>
      <c r="YK127" s="91"/>
      <c r="YL127" s="91"/>
      <c r="YM127" s="91"/>
      <c r="YN127" s="91"/>
      <c r="YO127" s="91"/>
      <c r="YP127" s="91"/>
      <c r="YQ127" s="91"/>
      <c r="YR127" s="91"/>
      <c r="YS127" s="91"/>
      <c r="YT127" s="91"/>
      <c r="YU127" s="91"/>
      <c r="YV127" s="91"/>
      <c r="YW127" s="91"/>
      <c r="YX127" s="91"/>
      <c r="YY127" s="91"/>
      <c r="YZ127" s="91"/>
      <c r="ZA127" s="91"/>
      <c r="ZB127" s="91"/>
      <c r="ZC127" s="91"/>
      <c r="ZD127" s="91"/>
      <c r="ZE127" s="91"/>
      <c r="ZF127" s="91"/>
      <c r="ZG127" s="91"/>
      <c r="ZH127" s="91"/>
      <c r="ZI127" s="91"/>
      <c r="ZJ127" s="91"/>
      <c r="ZK127" s="91"/>
      <c r="ZL127" s="91"/>
      <c r="ZM127" s="91"/>
      <c r="ZN127" s="91"/>
      <c r="ZO127" s="91"/>
      <c r="ZP127" s="91"/>
      <c r="ZQ127" s="91"/>
      <c r="ZR127" s="91"/>
      <c r="ZS127" s="91"/>
      <c r="ZT127" s="91"/>
      <c r="ZU127" s="91"/>
      <c r="ZV127" s="91"/>
      <c r="ZW127" s="91"/>
      <c r="ZX127" s="91"/>
      <c r="ZY127" s="91"/>
      <c r="ZZ127" s="91"/>
      <c r="AAA127" s="91"/>
      <c r="AAB127" s="91"/>
      <c r="AAC127" s="91"/>
      <c r="AAD127" s="91"/>
      <c r="AAE127" s="91"/>
      <c r="AAF127" s="91"/>
      <c r="AAG127" s="91"/>
      <c r="AAH127" s="91"/>
      <c r="AAI127" s="91"/>
      <c r="AAJ127" s="91"/>
      <c r="AAK127" s="91"/>
      <c r="AAL127" s="91"/>
      <c r="AAM127" s="91"/>
      <c r="AAN127" s="91"/>
      <c r="AAO127" s="91"/>
      <c r="AAP127" s="91"/>
      <c r="AAQ127" s="91"/>
      <c r="AAR127" s="91"/>
      <c r="AAS127" s="91"/>
      <c r="AAT127" s="91"/>
      <c r="AAU127" s="91"/>
      <c r="AAV127" s="91"/>
      <c r="AAW127" s="91"/>
      <c r="AAX127" s="91"/>
      <c r="AAY127" s="91"/>
      <c r="AAZ127" s="91"/>
      <c r="ABA127" s="91"/>
      <c r="ABB127" s="91"/>
      <c r="ABC127" s="91"/>
      <c r="ABD127" s="91"/>
      <c r="ABE127" s="91"/>
      <c r="ABF127" s="91"/>
      <c r="ABG127" s="91"/>
      <c r="ABH127" s="91"/>
      <c r="ABI127" s="91"/>
      <c r="ABJ127" s="91"/>
      <c r="ABK127" s="91"/>
      <c r="ABL127" s="91"/>
      <c r="ABM127" s="91"/>
      <c r="ABN127" s="91"/>
      <c r="ABO127" s="91"/>
      <c r="ABP127" s="91"/>
      <c r="ABQ127" s="91"/>
      <c r="ABR127" s="91"/>
      <c r="ABS127" s="91"/>
      <c r="ABT127" s="91"/>
      <c r="ABU127" s="91"/>
      <c r="ABV127" s="91"/>
      <c r="ABW127" s="91"/>
      <c r="ABX127" s="91"/>
      <c r="ABY127" s="91"/>
      <c r="ABZ127" s="91"/>
      <c r="ACA127" s="91"/>
      <c r="ACB127" s="91"/>
      <c r="ACC127" s="91"/>
      <c r="ACD127" s="91"/>
      <c r="ACE127" s="91"/>
      <c r="ACF127" s="91"/>
      <c r="ACG127" s="91"/>
      <c r="ACH127" s="91"/>
      <c r="ACI127" s="91"/>
      <c r="ACJ127" s="91"/>
      <c r="ACK127" s="91"/>
      <c r="ACL127" s="91"/>
      <c r="ACM127" s="91"/>
      <c r="ACN127" s="91"/>
      <c r="ACO127" s="91"/>
      <c r="ACP127" s="91"/>
      <c r="ACQ127" s="91"/>
      <c r="ACR127" s="91"/>
      <c r="ACS127" s="91"/>
      <c r="ACT127" s="91"/>
      <c r="ACU127" s="91"/>
      <c r="ACV127" s="91"/>
      <c r="ACW127" s="91"/>
      <c r="ACX127" s="91"/>
      <c r="ACY127" s="91"/>
      <c r="ACZ127" s="91"/>
      <c r="ADA127" s="91"/>
      <c r="ADB127" s="91"/>
      <c r="ADC127" s="91"/>
      <c r="ADD127" s="91"/>
      <c r="ADE127" s="91"/>
      <c r="ADF127" s="91"/>
      <c r="ADG127" s="91"/>
      <c r="ADH127" s="91"/>
      <c r="ADI127" s="91"/>
      <c r="ADJ127" s="91"/>
      <c r="ADK127" s="91"/>
      <c r="ADL127" s="91"/>
      <c r="ADM127" s="91"/>
      <c r="ADN127" s="91"/>
      <c r="ADO127" s="91"/>
      <c r="ADP127" s="91"/>
      <c r="ADQ127" s="91"/>
      <c r="ADR127" s="91"/>
      <c r="ADS127" s="91"/>
      <c r="ADT127" s="91"/>
      <c r="ADU127" s="91"/>
      <c r="ADV127" s="91"/>
      <c r="ADW127" s="91"/>
      <c r="ADX127" s="91"/>
      <c r="ADY127" s="91"/>
      <c r="ADZ127" s="91"/>
      <c r="AEA127" s="91"/>
      <c r="AEB127" s="91"/>
      <c r="AEC127" s="91"/>
      <c r="AED127" s="91"/>
      <c r="AEE127" s="91"/>
      <c r="AEF127" s="91"/>
      <c r="AEG127" s="91"/>
      <c r="AEH127" s="91"/>
      <c r="AEI127" s="91"/>
      <c r="AEJ127" s="91"/>
      <c r="AEK127" s="91"/>
      <c r="AEL127" s="91"/>
      <c r="AEM127" s="91"/>
      <c r="AEN127" s="91"/>
      <c r="AEO127" s="91"/>
      <c r="AEP127" s="91"/>
      <c r="AEQ127" s="91"/>
      <c r="AER127" s="91"/>
      <c r="AES127" s="91"/>
      <c r="AET127" s="91"/>
      <c r="AEU127" s="91"/>
      <c r="AEV127" s="91"/>
      <c r="AEW127" s="91"/>
      <c r="AEX127" s="91"/>
      <c r="AEY127" s="91"/>
      <c r="AEZ127" s="91"/>
      <c r="AFA127" s="91"/>
      <c r="AFB127" s="91"/>
      <c r="AFC127" s="91"/>
      <c r="AFD127" s="91"/>
      <c r="AFE127" s="91"/>
      <c r="AFF127" s="91"/>
      <c r="AFG127" s="91"/>
      <c r="AFH127" s="91"/>
      <c r="AFI127" s="91"/>
      <c r="AFJ127" s="91"/>
      <c r="AFK127" s="91"/>
      <c r="AFL127" s="91"/>
      <c r="AFM127" s="91"/>
      <c r="AFN127" s="91"/>
      <c r="AFO127" s="91"/>
      <c r="AFP127" s="91"/>
      <c r="AFQ127" s="91"/>
      <c r="AFR127" s="91"/>
      <c r="AFS127" s="91"/>
      <c r="AFT127" s="91"/>
      <c r="AFU127" s="91"/>
      <c r="AFV127" s="91"/>
      <c r="AFW127" s="91"/>
      <c r="AFX127" s="91"/>
      <c r="AFY127" s="91"/>
      <c r="AFZ127" s="91"/>
      <c r="AGA127" s="91"/>
      <c r="AGB127" s="91"/>
      <c r="AGC127" s="91"/>
      <c r="AGD127" s="91"/>
      <c r="AGE127" s="91"/>
      <c r="AGF127" s="91"/>
      <c r="AGG127" s="91"/>
      <c r="AGH127" s="91"/>
      <c r="AGI127" s="91"/>
      <c r="AGJ127" s="91"/>
      <c r="AGK127" s="91"/>
      <c r="AGL127" s="91"/>
      <c r="AGM127" s="91"/>
      <c r="AGN127" s="91"/>
      <c r="AGO127" s="91"/>
      <c r="AGP127" s="91"/>
      <c r="AGQ127" s="91"/>
      <c r="AGR127" s="91"/>
      <c r="AGS127" s="91"/>
      <c r="AGT127" s="91"/>
      <c r="AGU127" s="91"/>
      <c r="AGV127" s="91"/>
      <c r="AGW127" s="91"/>
      <c r="AGX127" s="91"/>
      <c r="AGY127" s="91"/>
      <c r="AGZ127" s="91"/>
      <c r="AHA127" s="91"/>
      <c r="AHB127" s="91"/>
      <c r="AHC127" s="91"/>
      <c r="AHD127" s="91"/>
      <c r="AHE127" s="91"/>
      <c r="AHF127" s="91"/>
      <c r="AHG127" s="91"/>
      <c r="AHH127" s="91"/>
      <c r="AHI127" s="91"/>
      <c r="AHJ127" s="91"/>
      <c r="AHK127" s="91"/>
      <c r="AHL127" s="91"/>
      <c r="AHM127" s="91"/>
      <c r="AHN127" s="91"/>
      <c r="AHO127" s="91"/>
      <c r="AHP127" s="91"/>
      <c r="AHQ127" s="91"/>
      <c r="AHR127" s="91"/>
      <c r="AHS127" s="91"/>
      <c r="AHT127" s="91"/>
      <c r="AHU127" s="91"/>
      <c r="AHV127" s="91"/>
      <c r="AHW127" s="91"/>
      <c r="AHX127" s="91"/>
      <c r="AHY127" s="91"/>
      <c r="AHZ127" s="91"/>
      <c r="AIA127" s="91"/>
      <c r="AIB127" s="91"/>
      <c r="AIC127" s="91"/>
      <c r="AID127" s="91"/>
      <c r="AIE127" s="91"/>
      <c r="AIF127" s="91"/>
      <c r="AIG127" s="91"/>
      <c r="AIH127" s="91"/>
      <c r="AII127" s="91"/>
      <c r="AIJ127" s="91"/>
      <c r="AIK127" s="91"/>
      <c r="AIL127" s="91"/>
      <c r="AIM127" s="91"/>
      <c r="AIN127" s="91"/>
      <c r="AIO127" s="91"/>
      <c r="AIP127" s="91"/>
      <c r="AIQ127" s="91"/>
      <c r="AIR127" s="91"/>
      <c r="AIS127" s="91"/>
      <c r="AIT127" s="91"/>
      <c r="AIU127" s="91"/>
      <c r="AIV127" s="91"/>
      <c r="AIW127" s="91"/>
      <c r="AIX127" s="91"/>
      <c r="AIY127" s="91"/>
      <c r="AIZ127" s="91"/>
      <c r="AJA127" s="91"/>
      <c r="AJB127" s="91"/>
      <c r="AJC127" s="91"/>
      <c r="AJD127" s="91"/>
      <c r="AJE127" s="91"/>
      <c r="AJF127" s="91"/>
      <c r="AJG127" s="91"/>
      <c r="AJH127" s="91"/>
      <c r="AJI127" s="91"/>
      <c r="AJJ127" s="91"/>
      <c r="AJK127" s="91"/>
      <c r="AJL127" s="91"/>
      <c r="AJM127" s="91"/>
      <c r="AJN127" s="91"/>
      <c r="AJO127" s="91"/>
      <c r="AJP127" s="91"/>
      <c r="AJQ127" s="91"/>
      <c r="AJR127" s="91"/>
      <c r="AJS127" s="91"/>
      <c r="AJT127" s="91"/>
      <c r="AJU127" s="91"/>
      <c r="AJV127" s="91"/>
      <c r="AJW127" s="91"/>
      <c r="AJX127" s="91"/>
      <c r="AJY127" s="91"/>
      <c r="AJZ127" s="91"/>
      <c r="AKA127" s="91"/>
      <c r="AKB127" s="91"/>
      <c r="AKC127" s="91"/>
      <c r="AKD127" s="91"/>
      <c r="AKE127" s="91"/>
      <c r="AKF127" s="91"/>
      <c r="AKG127" s="91"/>
      <c r="AKH127" s="91"/>
      <c r="AKI127" s="91"/>
      <c r="AKJ127" s="91"/>
      <c r="AKK127" s="91"/>
      <c r="AKL127" s="91"/>
      <c r="AKM127" s="91"/>
      <c r="AKN127" s="91"/>
      <c r="AKO127" s="91"/>
      <c r="AKP127" s="91"/>
      <c r="AKQ127" s="91"/>
      <c r="AKR127" s="91"/>
      <c r="AKS127" s="91"/>
      <c r="AKT127" s="91"/>
      <c r="AKU127" s="91"/>
      <c r="AKV127" s="91"/>
      <c r="AKW127" s="91"/>
      <c r="AKX127" s="91"/>
      <c r="AKY127" s="91"/>
      <c r="AKZ127" s="91"/>
      <c r="ALA127" s="91"/>
      <c r="ALB127" s="91"/>
      <c r="ALC127" s="91"/>
      <c r="ALD127" s="91"/>
      <c r="ALE127" s="91"/>
      <c r="ALF127" s="91"/>
      <c r="ALG127" s="91"/>
      <c r="ALH127" s="91"/>
      <c r="ALI127" s="91"/>
      <c r="ALJ127" s="91"/>
      <c r="ALK127" s="91"/>
      <c r="ALL127" s="91"/>
      <c r="ALM127" s="91"/>
      <c r="ALN127" s="91"/>
      <c r="ALO127" s="91"/>
      <c r="ALP127" s="91"/>
      <c r="ALQ127" s="91"/>
      <c r="ALR127" s="91"/>
      <c r="ALS127" s="91"/>
      <c r="ALT127" s="91"/>
      <c r="ALU127" s="91"/>
      <c r="ALV127" s="91"/>
      <c r="ALW127" s="91"/>
      <c r="ALX127" s="91"/>
      <c r="ALY127" s="91"/>
      <c r="ALZ127" s="91"/>
      <c r="AMA127" s="91"/>
      <c r="AMB127" s="91"/>
      <c r="AMC127" s="91"/>
      <c r="AMD127" s="91"/>
      <c r="AME127" s="91"/>
      <c r="AMF127" s="91"/>
      <c r="AMG127" s="91"/>
      <c r="AMH127" s="91"/>
      <c r="AMI127" s="91"/>
      <c r="AMJ127" s="91"/>
      <c r="AMK127" s="91"/>
      <c r="AML127" s="91"/>
      <c r="AMM127" s="91"/>
      <c r="AMN127" s="91"/>
      <c r="AMO127" s="91"/>
      <c r="AMP127" s="91"/>
      <c r="AMQ127" s="91"/>
      <c r="AMR127" s="91"/>
      <c r="AMS127" s="91"/>
      <c r="AMT127" s="91"/>
      <c r="AMU127" s="91"/>
      <c r="AMV127" s="91"/>
      <c r="AMW127" s="91"/>
      <c r="AMX127" s="91"/>
    </row>
    <row r="128" spans="1:1038" s="96" customFormat="1" ht="27.4" customHeight="1" thickBot="1" x14ac:dyDescent="0.45">
      <c r="A128" s="152"/>
      <c r="B128" s="153" t="s">
        <v>62</v>
      </c>
      <c r="C128" s="153"/>
      <c r="D128" s="153"/>
      <c r="E128" s="153"/>
      <c r="F128" s="153"/>
      <c r="G128" s="154"/>
      <c r="H128" s="155"/>
      <c r="I128" s="156"/>
      <c r="J128" s="157"/>
      <c r="K128" s="197"/>
      <c r="L128" s="100"/>
      <c r="M128" s="100"/>
      <c r="N128" s="212">
        <f>SUM(N126:N127)</f>
        <v>0</v>
      </c>
      <c r="O128" s="213">
        <f>SUM(O126:O127)</f>
        <v>0</v>
      </c>
      <c r="P128" s="213">
        <f>SUM(P126:P127)</f>
        <v>390000</v>
      </c>
      <c r="Q128" s="213">
        <f>SUM(Q126:Q127)</f>
        <v>0</v>
      </c>
      <c r="R128" s="158"/>
      <c r="S128" s="158"/>
      <c r="T128" s="159">
        <f>SUM(T126:T127)</f>
        <v>0</v>
      </c>
      <c r="U128" s="159">
        <f>SUM(U126:U127)</f>
        <v>0</v>
      </c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  <c r="BE128" s="95"/>
      <c r="BF128" s="95"/>
      <c r="BG128" s="95"/>
      <c r="BH128" s="95"/>
      <c r="BI128" s="95"/>
      <c r="BJ128" s="95"/>
      <c r="BK128" s="95"/>
      <c r="BL128" s="95"/>
      <c r="BM128" s="95"/>
      <c r="BN128" s="95"/>
      <c r="BO128" s="95"/>
      <c r="BP128" s="95"/>
      <c r="BQ128" s="95"/>
      <c r="BR128" s="95"/>
      <c r="BS128" s="95"/>
      <c r="BT128" s="95"/>
      <c r="BU128" s="95"/>
      <c r="BV128" s="95"/>
      <c r="BW128" s="95"/>
      <c r="BX128" s="95"/>
      <c r="BY128" s="95"/>
      <c r="BZ128" s="95"/>
      <c r="CA128" s="95"/>
      <c r="CB128" s="95"/>
      <c r="CC128" s="95"/>
      <c r="CD128" s="95"/>
      <c r="CE128" s="95"/>
      <c r="CF128" s="95"/>
      <c r="CG128" s="95"/>
      <c r="CH128" s="95"/>
      <c r="CI128" s="95"/>
      <c r="CJ128" s="95"/>
      <c r="CK128" s="95"/>
      <c r="CL128" s="95"/>
      <c r="CM128" s="95"/>
      <c r="CN128" s="95"/>
      <c r="CO128" s="95"/>
      <c r="CP128" s="95"/>
      <c r="CQ128" s="95"/>
      <c r="CR128" s="95"/>
      <c r="CS128" s="95"/>
      <c r="CT128" s="95"/>
      <c r="CU128" s="95"/>
      <c r="CV128" s="95"/>
      <c r="CW128" s="95"/>
      <c r="CX128" s="95"/>
      <c r="CY128" s="95"/>
      <c r="CZ128" s="95"/>
      <c r="DA128" s="95"/>
      <c r="DB128" s="95"/>
      <c r="DC128" s="95"/>
      <c r="DD128" s="95"/>
      <c r="DE128" s="95"/>
      <c r="DF128" s="95"/>
      <c r="DG128" s="95"/>
      <c r="DH128" s="95"/>
      <c r="DI128" s="95"/>
      <c r="DJ128" s="95"/>
      <c r="DK128" s="95"/>
      <c r="DL128" s="95"/>
      <c r="DM128" s="95"/>
      <c r="DN128" s="95"/>
      <c r="DO128" s="95"/>
      <c r="DP128" s="95"/>
      <c r="DQ128" s="95"/>
      <c r="DR128" s="95"/>
      <c r="DS128" s="95"/>
      <c r="DT128" s="95"/>
      <c r="DU128" s="95"/>
      <c r="DV128" s="95"/>
      <c r="DW128" s="95"/>
      <c r="DX128" s="95"/>
      <c r="DY128" s="95"/>
      <c r="DZ128" s="95"/>
      <c r="EA128" s="95"/>
      <c r="EB128" s="95"/>
      <c r="EC128" s="95"/>
      <c r="ED128" s="95"/>
      <c r="EE128" s="95"/>
      <c r="EF128" s="95"/>
      <c r="EG128" s="95"/>
      <c r="EH128" s="95"/>
      <c r="EI128" s="95"/>
      <c r="EJ128" s="95"/>
      <c r="EK128" s="95"/>
      <c r="EL128" s="95"/>
      <c r="EM128" s="95"/>
      <c r="EN128" s="95"/>
      <c r="EO128" s="95"/>
      <c r="EP128" s="95"/>
      <c r="EQ128" s="95"/>
      <c r="ER128" s="95"/>
      <c r="ES128" s="95"/>
      <c r="ET128" s="95"/>
      <c r="EU128" s="95"/>
      <c r="EV128" s="95"/>
      <c r="EW128" s="95"/>
      <c r="EX128" s="95"/>
      <c r="EY128" s="95"/>
      <c r="EZ128" s="95"/>
      <c r="FA128" s="95"/>
      <c r="FB128" s="95"/>
      <c r="FC128" s="95"/>
      <c r="FD128" s="95"/>
      <c r="FE128" s="95"/>
      <c r="FF128" s="95"/>
      <c r="FG128" s="95"/>
      <c r="FH128" s="95"/>
      <c r="FI128" s="95"/>
      <c r="FJ128" s="95"/>
      <c r="FK128" s="95"/>
      <c r="FL128" s="95"/>
      <c r="FM128" s="95"/>
      <c r="FN128" s="95"/>
      <c r="FO128" s="95"/>
      <c r="FP128" s="95"/>
      <c r="FQ128" s="95"/>
      <c r="FR128" s="95"/>
      <c r="FS128" s="95"/>
      <c r="FT128" s="95"/>
      <c r="FU128" s="95"/>
      <c r="FV128" s="95"/>
      <c r="FW128" s="95"/>
      <c r="FX128" s="95"/>
      <c r="FY128" s="95"/>
      <c r="FZ128" s="95"/>
      <c r="GA128" s="95"/>
      <c r="GB128" s="95"/>
      <c r="GC128" s="95"/>
      <c r="GD128" s="95"/>
      <c r="GE128" s="95"/>
      <c r="GF128" s="95"/>
      <c r="GG128" s="95"/>
      <c r="GH128" s="95"/>
      <c r="GI128" s="95"/>
      <c r="GJ128" s="95"/>
      <c r="GK128" s="95"/>
      <c r="GL128" s="95"/>
      <c r="GM128" s="95"/>
      <c r="GN128" s="95"/>
      <c r="GO128" s="95"/>
      <c r="GP128" s="95"/>
      <c r="GQ128" s="95"/>
      <c r="GR128" s="95"/>
      <c r="GS128" s="95"/>
      <c r="GT128" s="95"/>
      <c r="GU128" s="95"/>
      <c r="GV128" s="95"/>
      <c r="GW128" s="95"/>
      <c r="GX128" s="95"/>
      <c r="GY128" s="95"/>
      <c r="GZ128" s="95"/>
      <c r="HA128" s="95"/>
      <c r="HB128" s="95"/>
      <c r="HC128" s="95"/>
      <c r="HD128" s="95"/>
      <c r="HE128" s="95"/>
      <c r="HF128" s="95"/>
      <c r="HG128" s="95"/>
      <c r="HH128" s="95"/>
      <c r="HI128" s="95"/>
      <c r="HJ128" s="95"/>
      <c r="HK128" s="95"/>
      <c r="HL128" s="95"/>
      <c r="HM128" s="95"/>
      <c r="HN128" s="95"/>
      <c r="HO128" s="95"/>
      <c r="HP128" s="95"/>
      <c r="HQ128" s="95"/>
      <c r="HR128" s="95"/>
      <c r="HS128" s="95"/>
      <c r="HT128" s="95"/>
      <c r="HU128" s="95"/>
      <c r="HV128" s="95"/>
      <c r="HW128" s="95"/>
      <c r="HX128" s="95"/>
      <c r="HY128" s="95"/>
      <c r="HZ128" s="95"/>
      <c r="IA128" s="95"/>
      <c r="IB128" s="95"/>
      <c r="IC128" s="95"/>
      <c r="ID128" s="95"/>
      <c r="IE128" s="95"/>
      <c r="IF128" s="95"/>
      <c r="IG128" s="95"/>
      <c r="IH128" s="95"/>
      <c r="II128" s="95"/>
      <c r="IJ128" s="95"/>
      <c r="IK128" s="95"/>
      <c r="IL128" s="95"/>
      <c r="IM128" s="95"/>
      <c r="IN128" s="95"/>
      <c r="IO128" s="95"/>
      <c r="IP128" s="95"/>
      <c r="IQ128" s="95"/>
      <c r="IR128" s="95"/>
      <c r="IS128" s="95"/>
      <c r="IT128" s="95"/>
      <c r="IU128" s="95"/>
      <c r="IV128" s="95"/>
      <c r="IW128" s="95"/>
      <c r="IX128" s="95"/>
      <c r="IY128" s="95"/>
      <c r="IZ128" s="95"/>
      <c r="JA128" s="95"/>
      <c r="JB128" s="95"/>
      <c r="JC128" s="95"/>
      <c r="JD128" s="95"/>
      <c r="JE128" s="95"/>
      <c r="JF128" s="95"/>
      <c r="JG128" s="95"/>
      <c r="JH128" s="95"/>
      <c r="JI128" s="95"/>
      <c r="JJ128" s="95"/>
      <c r="JK128" s="95"/>
      <c r="JL128" s="95"/>
      <c r="JM128" s="95"/>
      <c r="JN128" s="95"/>
      <c r="JO128" s="95"/>
      <c r="JP128" s="95"/>
      <c r="JQ128" s="95"/>
      <c r="JR128" s="95"/>
      <c r="JS128" s="95"/>
      <c r="JT128" s="95"/>
      <c r="JU128" s="95"/>
      <c r="JV128" s="95"/>
      <c r="JW128" s="95"/>
      <c r="JX128" s="95"/>
      <c r="JY128" s="95"/>
      <c r="JZ128" s="95"/>
      <c r="KA128" s="95"/>
      <c r="KB128" s="95"/>
      <c r="KC128" s="95"/>
      <c r="KD128" s="95"/>
      <c r="KE128" s="95"/>
      <c r="KF128" s="95"/>
      <c r="KG128" s="95"/>
      <c r="KH128" s="95"/>
      <c r="KI128" s="95"/>
      <c r="KJ128" s="95"/>
      <c r="KK128" s="95"/>
      <c r="KL128" s="95"/>
      <c r="KM128" s="95"/>
      <c r="KN128" s="95"/>
      <c r="KO128" s="95"/>
      <c r="KP128" s="95"/>
      <c r="KQ128" s="95"/>
      <c r="KR128" s="95"/>
      <c r="KS128" s="95"/>
      <c r="KT128" s="95"/>
      <c r="KU128" s="95"/>
      <c r="KV128" s="95"/>
      <c r="KW128" s="95"/>
      <c r="KX128" s="95"/>
      <c r="KY128" s="95"/>
      <c r="KZ128" s="95"/>
      <c r="LA128" s="95"/>
      <c r="LB128" s="95"/>
      <c r="LC128" s="95"/>
      <c r="LD128" s="95"/>
      <c r="LE128" s="95"/>
      <c r="LF128" s="95"/>
      <c r="LG128" s="95"/>
      <c r="LH128" s="95"/>
      <c r="LI128" s="95"/>
      <c r="LJ128" s="95"/>
      <c r="LK128" s="95"/>
      <c r="LL128" s="95"/>
      <c r="LM128" s="95"/>
      <c r="LN128" s="95"/>
      <c r="LO128" s="95"/>
      <c r="LP128" s="95"/>
      <c r="LQ128" s="95"/>
      <c r="LR128" s="95"/>
      <c r="LS128" s="95"/>
      <c r="LT128" s="95"/>
      <c r="LU128" s="95"/>
      <c r="LV128" s="95"/>
      <c r="LW128" s="95"/>
      <c r="LX128" s="95"/>
      <c r="LY128" s="95"/>
      <c r="LZ128" s="95"/>
      <c r="MA128" s="95"/>
      <c r="MB128" s="95"/>
      <c r="MC128" s="95"/>
      <c r="MD128" s="95"/>
      <c r="ME128" s="95"/>
      <c r="MF128" s="95"/>
      <c r="MG128" s="95"/>
      <c r="MH128" s="95"/>
      <c r="MI128" s="95"/>
      <c r="MJ128" s="95"/>
      <c r="MK128" s="95"/>
      <c r="ML128" s="95"/>
      <c r="MM128" s="95"/>
      <c r="MN128" s="95"/>
      <c r="MO128" s="95"/>
      <c r="MP128" s="95"/>
      <c r="MQ128" s="95"/>
      <c r="MR128" s="95"/>
      <c r="MS128" s="95"/>
      <c r="MT128" s="95"/>
      <c r="MU128" s="95"/>
      <c r="MV128" s="95"/>
      <c r="MW128" s="95"/>
      <c r="MX128" s="95"/>
      <c r="MY128" s="95"/>
      <c r="MZ128" s="95"/>
      <c r="NA128" s="95"/>
      <c r="NB128" s="95"/>
      <c r="NC128" s="95"/>
      <c r="ND128" s="95"/>
      <c r="NE128" s="95"/>
      <c r="NF128" s="95"/>
      <c r="NG128" s="95"/>
      <c r="NH128" s="95"/>
      <c r="NI128" s="95"/>
      <c r="NJ128" s="95"/>
      <c r="NK128" s="95"/>
      <c r="NL128" s="95"/>
      <c r="NM128" s="95"/>
      <c r="NN128" s="95"/>
      <c r="NO128" s="95"/>
      <c r="NP128" s="95"/>
      <c r="NQ128" s="95"/>
      <c r="NR128" s="95"/>
      <c r="NS128" s="95"/>
      <c r="NT128" s="95"/>
      <c r="NU128" s="95"/>
      <c r="NV128" s="95"/>
      <c r="NW128" s="95"/>
      <c r="NX128" s="95"/>
      <c r="NY128" s="95"/>
      <c r="NZ128" s="95"/>
      <c r="OA128" s="95"/>
      <c r="OB128" s="95"/>
      <c r="OC128" s="95"/>
      <c r="OD128" s="95"/>
      <c r="OE128" s="95"/>
      <c r="OF128" s="95"/>
      <c r="OG128" s="95"/>
      <c r="OH128" s="95"/>
      <c r="OI128" s="95"/>
      <c r="OJ128" s="95"/>
      <c r="OK128" s="95"/>
      <c r="OL128" s="95"/>
      <c r="OM128" s="95"/>
      <c r="ON128" s="95"/>
      <c r="OO128" s="95"/>
      <c r="OP128" s="95"/>
      <c r="OQ128" s="95"/>
      <c r="OR128" s="95"/>
      <c r="OS128" s="95"/>
      <c r="OT128" s="95"/>
      <c r="OU128" s="95"/>
      <c r="OV128" s="95"/>
      <c r="OW128" s="95"/>
      <c r="OX128" s="95"/>
      <c r="OY128" s="95"/>
      <c r="OZ128" s="95"/>
      <c r="PA128" s="95"/>
      <c r="PB128" s="95"/>
      <c r="PC128" s="95"/>
      <c r="PD128" s="95"/>
      <c r="PE128" s="95"/>
      <c r="PF128" s="95"/>
      <c r="PG128" s="95"/>
      <c r="PH128" s="95"/>
      <c r="PI128" s="95"/>
      <c r="PJ128" s="95"/>
      <c r="PK128" s="95"/>
      <c r="PL128" s="95"/>
      <c r="PM128" s="95"/>
      <c r="PN128" s="95"/>
      <c r="PO128" s="95"/>
      <c r="PP128" s="95"/>
      <c r="PQ128" s="95"/>
      <c r="PR128" s="95"/>
      <c r="PS128" s="95"/>
      <c r="PT128" s="95"/>
      <c r="PU128" s="95"/>
      <c r="PV128" s="95"/>
      <c r="PW128" s="95"/>
      <c r="PX128" s="95"/>
      <c r="PY128" s="95"/>
      <c r="PZ128" s="95"/>
      <c r="QA128" s="95"/>
      <c r="QB128" s="95"/>
      <c r="QC128" s="95"/>
      <c r="QD128" s="95"/>
      <c r="QE128" s="95"/>
      <c r="QF128" s="95"/>
      <c r="QG128" s="95"/>
      <c r="QH128" s="95"/>
      <c r="QI128" s="95"/>
      <c r="QJ128" s="95"/>
      <c r="QK128" s="95"/>
      <c r="QL128" s="95"/>
      <c r="QM128" s="95"/>
      <c r="QN128" s="95"/>
      <c r="QO128" s="95"/>
      <c r="QP128" s="95"/>
      <c r="QQ128" s="95"/>
      <c r="QR128" s="95"/>
      <c r="QS128" s="95"/>
      <c r="QT128" s="95"/>
      <c r="QU128" s="95"/>
      <c r="QV128" s="95"/>
      <c r="QW128" s="95"/>
      <c r="QX128" s="95"/>
      <c r="QY128" s="95"/>
      <c r="QZ128" s="95"/>
      <c r="RA128" s="95"/>
      <c r="RB128" s="95"/>
      <c r="RC128" s="95"/>
      <c r="RD128" s="95"/>
      <c r="RE128" s="95"/>
      <c r="RF128" s="95"/>
      <c r="RG128" s="95"/>
      <c r="RH128" s="95"/>
      <c r="RI128" s="95"/>
      <c r="RJ128" s="95"/>
      <c r="RK128" s="95"/>
      <c r="RL128" s="95"/>
      <c r="RM128" s="95"/>
      <c r="RN128" s="95"/>
      <c r="RO128" s="95"/>
      <c r="RP128" s="95"/>
      <c r="RQ128" s="95"/>
      <c r="RR128" s="95"/>
      <c r="RS128" s="95"/>
      <c r="RT128" s="95"/>
      <c r="RU128" s="95"/>
      <c r="RV128" s="95"/>
      <c r="RW128" s="95"/>
      <c r="RX128" s="95"/>
      <c r="RY128" s="95"/>
      <c r="RZ128" s="95"/>
      <c r="SA128" s="95"/>
      <c r="SB128" s="95"/>
      <c r="SC128" s="95"/>
      <c r="SD128" s="95"/>
      <c r="SE128" s="95"/>
      <c r="SF128" s="95"/>
      <c r="SG128" s="95"/>
      <c r="SH128" s="95"/>
      <c r="SI128" s="95"/>
      <c r="SJ128" s="95"/>
      <c r="SK128" s="95"/>
      <c r="SL128" s="95"/>
      <c r="SM128" s="95"/>
      <c r="SN128" s="95"/>
      <c r="SO128" s="95"/>
      <c r="SP128" s="95"/>
      <c r="SQ128" s="95"/>
      <c r="SR128" s="95"/>
      <c r="SS128" s="95"/>
      <c r="ST128" s="95"/>
      <c r="SU128" s="95"/>
      <c r="SV128" s="95"/>
      <c r="SW128" s="95"/>
      <c r="SX128" s="95"/>
      <c r="SY128" s="95"/>
      <c r="SZ128" s="95"/>
      <c r="TA128" s="95"/>
      <c r="TB128" s="95"/>
      <c r="TC128" s="95"/>
      <c r="TD128" s="95"/>
      <c r="TE128" s="95"/>
      <c r="TF128" s="95"/>
      <c r="TG128" s="95"/>
      <c r="TH128" s="95"/>
      <c r="TI128" s="95"/>
      <c r="TJ128" s="95"/>
      <c r="TK128" s="95"/>
      <c r="TL128" s="95"/>
      <c r="TM128" s="95"/>
      <c r="TN128" s="95"/>
      <c r="TO128" s="95"/>
      <c r="TP128" s="95"/>
      <c r="TQ128" s="95"/>
      <c r="TR128" s="95"/>
      <c r="TS128" s="95"/>
      <c r="TT128" s="95"/>
      <c r="TU128" s="95"/>
      <c r="TV128" s="95"/>
      <c r="TW128" s="95"/>
      <c r="TX128" s="95"/>
      <c r="TY128" s="95"/>
      <c r="TZ128" s="95"/>
      <c r="UA128" s="95"/>
      <c r="UB128" s="95"/>
      <c r="UC128" s="95"/>
      <c r="UD128" s="95"/>
      <c r="UE128" s="95"/>
      <c r="UF128" s="95"/>
      <c r="UG128" s="95"/>
      <c r="UH128" s="95"/>
      <c r="UI128" s="95"/>
      <c r="UJ128" s="95"/>
      <c r="UK128" s="95"/>
      <c r="UL128" s="95"/>
      <c r="UM128" s="95"/>
      <c r="UN128" s="95"/>
      <c r="UO128" s="95"/>
      <c r="UP128" s="95"/>
      <c r="UQ128" s="95"/>
      <c r="UR128" s="95"/>
      <c r="US128" s="95"/>
      <c r="UT128" s="95"/>
      <c r="UU128" s="95"/>
      <c r="UV128" s="95"/>
      <c r="UW128" s="95"/>
      <c r="UX128" s="95"/>
      <c r="UY128" s="95"/>
      <c r="UZ128" s="95"/>
      <c r="VA128" s="95"/>
      <c r="VB128" s="95"/>
      <c r="VC128" s="95"/>
      <c r="VD128" s="95"/>
      <c r="VE128" s="95"/>
      <c r="VF128" s="95"/>
      <c r="VG128" s="95"/>
      <c r="VH128" s="95"/>
      <c r="VI128" s="95"/>
      <c r="VJ128" s="95"/>
      <c r="VK128" s="95"/>
      <c r="VL128" s="95"/>
      <c r="VM128" s="95"/>
      <c r="VN128" s="95"/>
      <c r="VO128" s="95"/>
      <c r="VP128" s="95"/>
      <c r="VQ128" s="95"/>
      <c r="VR128" s="95"/>
      <c r="VS128" s="95"/>
      <c r="VT128" s="95"/>
      <c r="VU128" s="95"/>
      <c r="VV128" s="95"/>
      <c r="VW128" s="95"/>
      <c r="VX128" s="95"/>
      <c r="VY128" s="95"/>
      <c r="VZ128" s="95"/>
      <c r="WA128" s="95"/>
      <c r="WB128" s="95"/>
      <c r="WC128" s="95"/>
      <c r="WD128" s="95"/>
      <c r="WE128" s="95"/>
      <c r="WF128" s="95"/>
      <c r="WG128" s="95"/>
      <c r="WH128" s="95"/>
      <c r="WI128" s="95"/>
      <c r="WJ128" s="95"/>
      <c r="WK128" s="95"/>
      <c r="WL128" s="95"/>
      <c r="WM128" s="95"/>
      <c r="WN128" s="95"/>
      <c r="WO128" s="95"/>
      <c r="WP128" s="95"/>
      <c r="WQ128" s="95"/>
      <c r="WR128" s="95"/>
      <c r="WS128" s="95"/>
      <c r="WT128" s="95"/>
      <c r="WU128" s="95"/>
      <c r="WV128" s="95"/>
      <c r="WW128" s="95"/>
      <c r="WX128" s="95"/>
      <c r="WY128" s="95"/>
      <c r="WZ128" s="95"/>
      <c r="XA128" s="95"/>
      <c r="XB128" s="95"/>
      <c r="XC128" s="95"/>
      <c r="XD128" s="95"/>
      <c r="XE128" s="95"/>
      <c r="XF128" s="95"/>
      <c r="XG128" s="95"/>
      <c r="XH128" s="95"/>
      <c r="XI128" s="95"/>
      <c r="XJ128" s="95"/>
      <c r="XK128" s="95"/>
      <c r="XL128" s="95"/>
      <c r="XM128" s="95"/>
      <c r="XN128" s="95"/>
      <c r="XO128" s="95"/>
      <c r="XP128" s="95"/>
      <c r="XQ128" s="95"/>
      <c r="XR128" s="95"/>
      <c r="XS128" s="95"/>
      <c r="XT128" s="95"/>
      <c r="XU128" s="95"/>
      <c r="XV128" s="95"/>
      <c r="XW128" s="95"/>
      <c r="XX128" s="95"/>
      <c r="XY128" s="95"/>
      <c r="XZ128" s="95"/>
      <c r="YA128" s="95"/>
      <c r="YB128" s="95"/>
      <c r="YC128" s="95"/>
      <c r="YD128" s="95"/>
      <c r="YE128" s="95"/>
      <c r="YF128" s="95"/>
      <c r="YG128" s="95"/>
      <c r="YH128" s="95"/>
      <c r="YI128" s="95"/>
      <c r="YJ128" s="95"/>
      <c r="YK128" s="95"/>
      <c r="YL128" s="95"/>
      <c r="YM128" s="95"/>
      <c r="YN128" s="95"/>
      <c r="YO128" s="95"/>
      <c r="YP128" s="95"/>
      <c r="YQ128" s="95"/>
      <c r="YR128" s="95"/>
      <c r="YS128" s="95"/>
      <c r="YT128" s="95"/>
      <c r="YU128" s="95"/>
      <c r="YV128" s="95"/>
      <c r="YW128" s="95"/>
      <c r="YX128" s="95"/>
      <c r="YY128" s="95"/>
      <c r="YZ128" s="95"/>
      <c r="ZA128" s="95"/>
      <c r="ZB128" s="95"/>
      <c r="ZC128" s="95"/>
      <c r="ZD128" s="95"/>
      <c r="ZE128" s="95"/>
      <c r="ZF128" s="95"/>
      <c r="ZG128" s="95"/>
      <c r="ZH128" s="95"/>
      <c r="ZI128" s="95"/>
      <c r="ZJ128" s="95"/>
      <c r="ZK128" s="95"/>
      <c r="ZL128" s="95"/>
      <c r="ZM128" s="95"/>
      <c r="ZN128" s="95"/>
      <c r="ZO128" s="95"/>
      <c r="ZP128" s="95"/>
      <c r="ZQ128" s="95"/>
      <c r="ZR128" s="95"/>
      <c r="ZS128" s="95"/>
      <c r="ZT128" s="95"/>
      <c r="ZU128" s="95"/>
      <c r="ZV128" s="95"/>
      <c r="ZW128" s="95"/>
      <c r="ZX128" s="95"/>
      <c r="ZY128" s="95"/>
      <c r="ZZ128" s="95"/>
      <c r="AAA128" s="95"/>
      <c r="AAB128" s="95"/>
      <c r="AAC128" s="95"/>
      <c r="AAD128" s="95"/>
      <c r="AAE128" s="95"/>
      <c r="AAF128" s="95"/>
      <c r="AAG128" s="95"/>
      <c r="AAH128" s="95"/>
      <c r="AAI128" s="95"/>
      <c r="AAJ128" s="95"/>
      <c r="AAK128" s="95"/>
      <c r="AAL128" s="95"/>
      <c r="AAM128" s="95"/>
      <c r="AAN128" s="95"/>
      <c r="AAO128" s="95"/>
      <c r="AAP128" s="95"/>
      <c r="AAQ128" s="95"/>
      <c r="AAR128" s="95"/>
      <c r="AAS128" s="95"/>
      <c r="AAT128" s="95"/>
      <c r="AAU128" s="95"/>
      <c r="AAV128" s="95"/>
      <c r="AAW128" s="95"/>
      <c r="AAX128" s="95"/>
      <c r="AAY128" s="95"/>
      <c r="AAZ128" s="95"/>
      <c r="ABA128" s="95"/>
      <c r="ABB128" s="95"/>
      <c r="ABC128" s="95"/>
      <c r="ABD128" s="95"/>
      <c r="ABE128" s="95"/>
      <c r="ABF128" s="95"/>
      <c r="ABG128" s="95"/>
      <c r="ABH128" s="95"/>
      <c r="ABI128" s="95"/>
      <c r="ABJ128" s="95"/>
      <c r="ABK128" s="95"/>
      <c r="ABL128" s="95"/>
      <c r="ABM128" s="95"/>
      <c r="ABN128" s="95"/>
      <c r="ABO128" s="95"/>
      <c r="ABP128" s="95"/>
      <c r="ABQ128" s="95"/>
      <c r="ABR128" s="95"/>
      <c r="ABS128" s="95"/>
      <c r="ABT128" s="95"/>
      <c r="ABU128" s="95"/>
      <c r="ABV128" s="95"/>
      <c r="ABW128" s="95"/>
      <c r="ABX128" s="95"/>
      <c r="ABY128" s="95"/>
      <c r="ABZ128" s="95"/>
      <c r="ACA128" s="95"/>
      <c r="ACB128" s="95"/>
      <c r="ACC128" s="95"/>
      <c r="ACD128" s="95"/>
      <c r="ACE128" s="95"/>
      <c r="ACF128" s="95"/>
      <c r="ACG128" s="95"/>
      <c r="ACH128" s="95"/>
      <c r="ACI128" s="95"/>
      <c r="ACJ128" s="95"/>
      <c r="ACK128" s="95"/>
      <c r="ACL128" s="95"/>
      <c r="ACM128" s="95"/>
      <c r="ACN128" s="95"/>
      <c r="ACO128" s="95"/>
      <c r="ACP128" s="95"/>
      <c r="ACQ128" s="95"/>
      <c r="ACR128" s="95"/>
      <c r="ACS128" s="95"/>
      <c r="ACT128" s="95"/>
      <c r="ACU128" s="95"/>
      <c r="ACV128" s="95"/>
      <c r="ACW128" s="95"/>
      <c r="ACX128" s="95"/>
      <c r="ACY128" s="95"/>
      <c r="ACZ128" s="95"/>
      <c r="ADA128" s="95"/>
      <c r="ADB128" s="95"/>
      <c r="ADC128" s="95"/>
      <c r="ADD128" s="95"/>
      <c r="ADE128" s="95"/>
      <c r="ADF128" s="95"/>
      <c r="ADG128" s="95"/>
      <c r="ADH128" s="95"/>
      <c r="ADI128" s="95"/>
      <c r="ADJ128" s="95"/>
      <c r="ADK128" s="95"/>
      <c r="ADL128" s="95"/>
      <c r="ADM128" s="95"/>
      <c r="ADN128" s="95"/>
      <c r="ADO128" s="95"/>
      <c r="ADP128" s="95"/>
      <c r="ADQ128" s="95"/>
      <c r="ADR128" s="95"/>
      <c r="ADS128" s="95"/>
      <c r="ADT128" s="95"/>
      <c r="ADU128" s="95"/>
      <c r="ADV128" s="95"/>
      <c r="ADW128" s="95"/>
      <c r="ADX128" s="95"/>
      <c r="ADY128" s="95"/>
      <c r="ADZ128" s="95"/>
      <c r="AEA128" s="95"/>
      <c r="AEB128" s="95"/>
      <c r="AEC128" s="95"/>
      <c r="AED128" s="95"/>
      <c r="AEE128" s="95"/>
      <c r="AEF128" s="95"/>
      <c r="AEG128" s="95"/>
      <c r="AEH128" s="95"/>
      <c r="AEI128" s="95"/>
      <c r="AEJ128" s="95"/>
      <c r="AEK128" s="95"/>
      <c r="AEL128" s="95"/>
      <c r="AEM128" s="95"/>
      <c r="AEN128" s="95"/>
      <c r="AEO128" s="95"/>
      <c r="AEP128" s="95"/>
      <c r="AEQ128" s="95"/>
      <c r="AER128" s="95"/>
      <c r="AES128" s="95"/>
      <c r="AET128" s="95"/>
      <c r="AEU128" s="95"/>
      <c r="AEV128" s="95"/>
      <c r="AEW128" s="95"/>
      <c r="AEX128" s="95"/>
      <c r="AEY128" s="95"/>
      <c r="AEZ128" s="95"/>
      <c r="AFA128" s="95"/>
      <c r="AFB128" s="95"/>
      <c r="AFC128" s="95"/>
      <c r="AFD128" s="95"/>
      <c r="AFE128" s="95"/>
      <c r="AFF128" s="95"/>
      <c r="AFG128" s="95"/>
      <c r="AFH128" s="95"/>
      <c r="AFI128" s="95"/>
      <c r="AFJ128" s="95"/>
      <c r="AFK128" s="95"/>
      <c r="AFL128" s="95"/>
      <c r="AFM128" s="95"/>
      <c r="AFN128" s="95"/>
      <c r="AFO128" s="95"/>
      <c r="AFP128" s="95"/>
      <c r="AFQ128" s="95"/>
      <c r="AFR128" s="95"/>
      <c r="AFS128" s="95"/>
      <c r="AFT128" s="95"/>
      <c r="AFU128" s="95"/>
      <c r="AFV128" s="95"/>
      <c r="AFW128" s="95"/>
      <c r="AFX128" s="95"/>
      <c r="AFY128" s="95"/>
      <c r="AFZ128" s="95"/>
      <c r="AGA128" s="95"/>
      <c r="AGB128" s="95"/>
      <c r="AGC128" s="95"/>
      <c r="AGD128" s="95"/>
      <c r="AGE128" s="95"/>
      <c r="AGF128" s="95"/>
      <c r="AGG128" s="95"/>
      <c r="AGH128" s="95"/>
      <c r="AGI128" s="95"/>
      <c r="AGJ128" s="95"/>
      <c r="AGK128" s="95"/>
      <c r="AGL128" s="95"/>
      <c r="AGM128" s="95"/>
      <c r="AGN128" s="95"/>
      <c r="AGO128" s="95"/>
      <c r="AGP128" s="95"/>
      <c r="AGQ128" s="95"/>
      <c r="AGR128" s="95"/>
      <c r="AGS128" s="95"/>
      <c r="AGT128" s="95"/>
      <c r="AGU128" s="95"/>
      <c r="AGV128" s="95"/>
      <c r="AGW128" s="95"/>
      <c r="AGX128" s="95"/>
      <c r="AGY128" s="95"/>
      <c r="AGZ128" s="95"/>
      <c r="AHA128" s="95"/>
      <c r="AHB128" s="95"/>
      <c r="AHC128" s="95"/>
      <c r="AHD128" s="95"/>
      <c r="AHE128" s="95"/>
      <c r="AHF128" s="95"/>
      <c r="AHG128" s="95"/>
      <c r="AHH128" s="95"/>
      <c r="AHI128" s="95"/>
      <c r="AHJ128" s="95"/>
      <c r="AHK128" s="95"/>
      <c r="AHL128" s="95"/>
      <c r="AHM128" s="95"/>
      <c r="AHN128" s="95"/>
      <c r="AHO128" s="95"/>
      <c r="AHP128" s="95"/>
      <c r="AHQ128" s="95"/>
      <c r="AHR128" s="95"/>
      <c r="AHS128" s="95"/>
      <c r="AHT128" s="95"/>
      <c r="AHU128" s="95"/>
      <c r="AHV128" s="95"/>
      <c r="AHW128" s="95"/>
      <c r="AHX128" s="95"/>
      <c r="AHY128" s="95"/>
      <c r="AHZ128" s="95"/>
      <c r="AIA128" s="95"/>
      <c r="AIB128" s="95"/>
      <c r="AIC128" s="95"/>
      <c r="AID128" s="95"/>
      <c r="AIE128" s="95"/>
      <c r="AIF128" s="95"/>
      <c r="AIG128" s="95"/>
      <c r="AIH128" s="95"/>
      <c r="AII128" s="95"/>
      <c r="AIJ128" s="95"/>
      <c r="AIK128" s="95"/>
      <c r="AIL128" s="95"/>
      <c r="AIM128" s="95"/>
      <c r="AIN128" s="95"/>
      <c r="AIO128" s="95"/>
      <c r="AIP128" s="95"/>
      <c r="AIQ128" s="95"/>
      <c r="AIR128" s="95"/>
      <c r="AIS128" s="95"/>
      <c r="AIT128" s="95"/>
      <c r="AIU128" s="95"/>
      <c r="AIV128" s="95"/>
      <c r="AIW128" s="95"/>
      <c r="AIX128" s="95"/>
      <c r="AIY128" s="95"/>
      <c r="AIZ128" s="95"/>
      <c r="AJA128" s="95"/>
      <c r="AJB128" s="95"/>
      <c r="AJC128" s="95"/>
      <c r="AJD128" s="95"/>
      <c r="AJE128" s="95"/>
      <c r="AJF128" s="95"/>
      <c r="AJG128" s="95"/>
      <c r="AJH128" s="95"/>
      <c r="AJI128" s="95"/>
      <c r="AJJ128" s="95"/>
      <c r="AJK128" s="95"/>
      <c r="AJL128" s="95"/>
      <c r="AJM128" s="95"/>
      <c r="AJN128" s="95"/>
      <c r="AJO128" s="95"/>
      <c r="AJP128" s="95"/>
      <c r="AJQ128" s="95"/>
      <c r="AJR128" s="95"/>
      <c r="AJS128" s="95"/>
      <c r="AJT128" s="95"/>
      <c r="AJU128" s="95"/>
      <c r="AJV128" s="95"/>
      <c r="AJW128" s="95"/>
      <c r="AJX128" s="95"/>
      <c r="AJY128" s="95"/>
      <c r="AJZ128" s="95"/>
      <c r="AKA128" s="95"/>
      <c r="AKB128" s="95"/>
      <c r="AKC128" s="95"/>
      <c r="AKD128" s="95"/>
      <c r="AKE128" s="95"/>
      <c r="AKF128" s="95"/>
      <c r="AKG128" s="95"/>
      <c r="AKH128" s="95"/>
      <c r="AKI128" s="95"/>
      <c r="AKJ128" s="95"/>
      <c r="AKK128" s="95"/>
      <c r="AKL128" s="95"/>
      <c r="AKM128" s="95"/>
      <c r="AKN128" s="95"/>
      <c r="AKO128" s="95"/>
      <c r="AKP128" s="95"/>
      <c r="AKQ128" s="95"/>
      <c r="AKR128" s="95"/>
      <c r="AKS128" s="95"/>
      <c r="AKT128" s="95"/>
      <c r="AKU128" s="95"/>
      <c r="AKV128" s="95"/>
      <c r="AKW128" s="95"/>
      <c r="AKX128" s="95"/>
      <c r="AKY128" s="95"/>
      <c r="AKZ128" s="95"/>
      <c r="ALA128" s="95"/>
      <c r="ALB128" s="95"/>
      <c r="ALC128" s="95"/>
      <c r="ALD128" s="95"/>
      <c r="ALE128" s="95"/>
      <c r="ALF128" s="95"/>
      <c r="ALG128" s="95"/>
      <c r="ALH128" s="95"/>
      <c r="ALI128" s="95"/>
      <c r="ALJ128" s="95"/>
      <c r="ALK128" s="95"/>
      <c r="ALL128" s="95"/>
      <c r="ALM128" s="95"/>
      <c r="ALN128" s="95"/>
      <c r="ALO128" s="95"/>
      <c r="ALP128" s="95"/>
      <c r="ALQ128" s="95"/>
      <c r="ALR128" s="95"/>
      <c r="ALS128" s="95"/>
      <c r="ALT128" s="95"/>
      <c r="ALU128" s="95"/>
      <c r="ALV128" s="95"/>
      <c r="ALW128" s="95"/>
      <c r="ALX128" s="95"/>
      <c r="ALY128" s="95"/>
      <c r="ALZ128" s="95"/>
      <c r="AMA128" s="95"/>
      <c r="AMB128" s="95"/>
      <c r="AMC128" s="95"/>
      <c r="AMD128" s="95"/>
      <c r="AME128" s="95"/>
      <c r="AMF128" s="95"/>
      <c r="AMG128" s="95"/>
      <c r="AMH128" s="95"/>
      <c r="AMI128" s="95"/>
      <c r="AMJ128" s="95"/>
      <c r="AMK128" s="95"/>
      <c r="AML128" s="95"/>
      <c r="AMM128" s="95"/>
      <c r="AMN128" s="95"/>
      <c r="AMO128" s="95"/>
      <c r="AMP128" s="95"/>
      <c r="AMQ128" s="95"/>
      <c r="AMR128" s="95"/>
      <c r="AMS128" s="95"/>
      <c r="AMT128" s="95"/>
      <c r="AMU128" s="95"/>
      <c r="AMV128" s="95"/>
      <c r="AMW128" s="95"/>
      <c r="AMX128" s="95"/>
    </row>
    <row r="129" spans="1:1038" s="96" customFormat="1" ht="27.4" customHeight="1" thickBot="1" x14ac:dyDescent="0.5">
      <c r="A129" s="160"/>
      <c r="B129" s="161" t="s">
        <v>332</v>
      </c>
      <c r="C129" s="161"/>
      <c r="D129" s="161"/>
      <c r="E129" s="161"/>
      <c r="F129" s="161"/>
      <c r="G129" s="162"/>
      <c r="H129" s="163"/>
      <c r="I129" s="164"/>
      <c r="J129" s="165"/>
      <c r="K129" s="198"/>
      <c r="L129" s="198"/>
      <c r="M129" s="198"/>
      <c r="N129" s="210">
        <f>N17+N23+N38+N42+N47+N54+N58+N61+N65+N76+N84+N105+N108+N111+N118+N123+N128</f>
        <v>106493249.48000002</v>
      </c>
      <c r="O129" s="166">
        <f>N129-P129-Q129</f>
        <v>25172018.460000016</v>
      </c>
      <c r="P129" s="166">
        <f>P17+P23+P38+P42+P47+P54+P58+P61+P65+P76+P84+P105+P108+P111+P118+P123+P128</f>
        <v>78027058.810000002</v>
      </c>
      <c r="Q129" s="166">
        <f>Q17+Q23+Q38+Q42+Q47+Q54+Q58+Q61+Q65+Q76+Q84+Q105+Q108+Q111+Q118+Q123+Q128</f>
        <v>3294172.21</v>
      </c>
      <c r="R129" s="166"/>
      <c r="S129" s="166"/>
      <c r="T129" s="167">
        <f>T17+T23+T38+T42+T47+T54+T58+T61+T65+T76+T84+T105+T108+T111+T118+T123+T128</f>
        <v>63436649.089999989</v>
      </c>
      <c r="U129" s="167">
        <f>U17+U23+U38+U42+U47+U54+U58+U61+U65+U76+U84+U105+U108+U111+U118+U123+U128</f>
        <v>55598825.279999994</v>
      </c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  <c r="BE129" s="95"/>
      <c r="BF129" s="95"/>
      <c r="BG129" s="95"/>
      <c r="BH129" s="95"/>
      <c r="BI129" s="95"/>
      <c r="BJ129" s="95"/>
      <c r="BK129" s="95"/>
      <c r="BL129" s="95"/>
      <c r="BM129" s="95"/>
      <c r="BN129" s="95"/>
      <c r="BO129" s="95"/>
      <c r="BP129" s="95"/>
      <c r="BQ129" s="95"/>
      <c r="BR129" s="95"/>
      <c r="BS129" s="95"/>
      <c r="BT129" s="95"/>
      <c r="BU129" s="95"/>
      <c r="BV129" s="95"/>
      <c r="BW129" s="95"/>
      <c r="BX129" s="95"/>
      <c r="BY129" s="95"/>
      <c r="BZ129" s="95"/>
      <c r="CA129" s="95"/>
      <c r="CB129" s="95"/>
      <c r="CC129" s="95"/>
      <c r="CD129" s="95"/>
      <c r="CE129" s="95"/>
      <c r="CF129" s="95"/>
      <c r="CG129" s="95"/>
      <c r="CH129" s="95"/>
      <c r="CI129" s="95"/>
      <c r="CJ129" s="95"/>
      <c r="CK129" s="95"/>
      <c r="CL129" s="95"/>
      <c r="CM129" s="95"/>
      <c r="CN129" s="95"/>
      <c r="CO129" s="95"/>
      <c r="CP129" s="95"/>
      <c r="CQ129" s="95"/>
      <c r="CR129" s="95"/>
      <c r="CS129" s="95"/>
      <c r="CT129" s="95"/>
      <c r="CU129" s="95"/>
      <c r="CV129" s="95"/>
      <c r="CW129" s="95"/>
      <c r="CX129" s="95"/>
      <c r="CY129" s="95"/>
      <c r="CZ129" s="95"/>
      <c r="DA129" s="95"/>
      <c r="DB129" s="95"/>
      <c r="DC129" s="95"/>
      <c r="DD129" s="95"/>
      <c r="DE129" s="95"/>
      <c r="DF129" s="95"/>
      <c r="DG129" s="95"/>
      <c r="DH129" s="95"/>
      <c r="DI129" s="95"/>
      <c r="DJ129" s="95"/>
      <c r="DK129" s="95"/>
      <c r="DL129" s="95"/>
      <c r="DM129" s="95"/>
      <c r="DN129" s="95"/>
      <c r="DO129" s="95"/>
      <c r="DP129" s="95"/>
      <c r="DQ129" s="95"/>
      <c r="DR129" s="95"/>
      <c r="DS129" s="95"/>
      <c r="DT129" s="95"/>
      <c r="DU129" s="95"/>
      <c r="DV129" s="95"/>
      <c r="DW129" s="95"/>
      <c r="DX129" s="95"/>
      <c r="DY129" s="95"/>
      <c r="DZ129" s="95"/>
      <c r="EA129" s="95"/>
      <c r="EB129" s="95"/>
      <c r="EC129" s="95"/>
      <c r="ED129" s="95"/>
      <c r="EE129" s="95"/>
      <c r="EF129" s="95"/>
      <c r="EG129" s="95"/>
      <c r="EH129" s="95"/>
      <c r="EI129" s="95"/>
      <c r="EJ129" s="95"/>
      <c r="EK129" s="95"/>
      <c r="EL129" s="95"/>
      <c r="EM129" s="95"/>
      <c r="EN129" s="95"/>
      <c r="EO129" s="95"/>
      <c r="EP129" s="95"/>
      <c r="EQ129" s="95"/>
      <c r="ER129" s="95"/>
      <c r="ES129" s="95"/>
      <c r="ET129" s="95"/>
      <c r="EU129" s="95"/>
      <c r="EV129" s="95"/>
      <c r="EW129" s="95"/>
      <c r="EX129" s="95"/>
      <c r="EY129" s="95"/>
      <c r="EZ129" s="95"/>
      <c r="FA129" s="95"/>
      <c r="FB129" s="95"/>
      <c r="FC129" s="95"/>
      <c r="FD129" s="95"/>
      <c r="FE129" s="95"/>
      <c r="FF129" s="95"/>
      <c r="FG129" s="95"/>
      <c r="FH129" s="95"/>
      <c r="FI129" s="95"/>
      <c r="FJ129" s="95"/>
      <c r="FK129" s="95"/>
      <c r="FL129" s="95"/>
      <c r="FM129" s="95"/>
      <c r="FN129" s="95"/>
      <c r="FO129" s="95"/>
      <c r="FP129" s="95"/>
      <c r="FQ129" s="95"/>
      <c r="FR129" s="95"/>
      <c r="FS129" s="95"/>
      <c r="FT129" s="95"/>
      <c r="FU129" s="95"/>
      <c r="FV129" s="95"/>
      <c r="FW129" s="95"/>
      <c r="FX129" s="95"/>
      <c r="FY129" s="95"/>
      <c r="FZ129" s="95"/>
      <c r="GA129" s="95"/>
      <c r="GB129" s="95"/>
      <c r="GC129" s="95"/>
      <c r="GD129" s="95"/>
      <c r="GE129" s="95"/>
      <c r="GF129" s="95"/>
      <c r="GG129" s="95"/>
      <c r="GH129" s="95"/>
      <c r="GI129" s="95"/>
      <c r="GJ129" s="95"/>
      <c r="GK129" s="95"/>
      <c r="GL129" s="95"/>
      <c r="GM129" s="95"/>
      <c r="GN129" s="95"/>
      <c r="GO129" s="95"/>
      <c r="GP129" s="95"/>
      <c r="GQ129" s="95"/>
      <c r="GR129" s="95"/>
      <c r="GS129" s="95"/>
      <c r="GT129" s="95"/>
      <c r="GU129" s="95"/>
      <c r="GV129" s="95"/>
      <c r="GW129" s="95"/>
      <c r="GX129" s="95"/>
      <c r="GY129" s="95"/>
      <c r="GZ129" s="95"/>
      <c r="HA129" s="95"/>
      <c r="HB129" s="95"/>
      <c r="HC129" s="95"/>
      <c r="HD129" s="95"/>
      <c r="HE129" s="95"/>
      <c r="HF129" s="95"/>
      <c r="HG129" s="95"/>
      <c r="HH129" s="95"/>
      <c r="HI129" s="95"/>
      <c r="HJ129" s="95"/>
      <c r="HK129" s="95"/>
      <c r="HL129" s="95"/>
      <c r="HM129" s="95"/>
      <c r="HN129" s="95"/>
      <c r="HO129" s="95"/>
      <c r="HP129" s="95"/>
      <c r="HQ129" s="95"/>
      <c r="HR129" s="95"/>
      <c r="HS129" s="95"/>
      <c r="HT129" s="95"/>
      <c r="HU129" s="95"/>
      <c r="HV129" s="95"/>
      <c r="HW129" s="95"/>
      <c r="HX129" s="95"/>
      <c r="HY129" s="95"/>
      <c r="HZ129" s="95"/>
      <c r="IA129" s="95"/>
      <c r="IB129" s="95"/>
      <c r="IC129" s="95"/>
      <c r="ID129" s="95"/>
      <c r="IE129" s="95"/>
      <c r="IF129" s="95"/>
      <c r="IG129" s="95"/>
      <c r="IH129" s="95"/>
      <c r="II129" s="95"/>
      <c r="IJ129" s="95"/>
      <c r="IK129" s="95"/>
      <c r="IL129" s="95"/>
      <c r="IM129" s="95"/>
      <c r="IN129" s="95"/>
      <c r="IO129" s="95"/>
      <c r="IP129" s="95"/>
      <c r="IQ129" s="95"/>
      <c r="IR129" s="95"/>
      <c r="IS129" s="95"/>
      <c r="IT129" s="95"/>
      <c r="IU129" s="95"/>
      <c r="IV129" s="95"/>
      <c r="IW129" s="95"/>
      <c r="IX129" s="95"/>
      <c r="IY129" s="95"/>
      <c r="IZ129" s="95"/>
      <c r="JA129" s="95"/>
      <c r="JB129" s="95"/>
      <c r="JC129" s="95"/>
      <c r="JD129" s="95"/>
      <c r="JE129" s="95"/>
      <c r="JF129" s="95"/>
      <c r="JG129" s="95"/>
      <c r="JH129" s="95"/>
      <c r="JI129" s="95"/>
      <c r="JJ129" s="95"/>
      <c r="JK129" s="95"/>
      <c r="JL129" s="95"/>
      <c r="JM129" s="95"/>
      <c r="JN129" s="95"/>
      <c r="JO129" s="95"/>
      <c r="JP129" s="95"/>
      <c r="JQ129" s="95"/>
      <c r="JR129" s="95"/>
      <c r="JS129" s="95"/>
      <c r="JT129" s="95"/>
      <c r="JU129" s="95"/>
      <c r="JV129" s="95"/>
      <c r="JW129" s="95"/>
      <c r="JX129" s="95"/>
      <c r="JY129" s="95"/>
      <c r="JZ129" s="95"/>
      <c r="KA129" s="95"/>
      <c r="KB129" s="95"/>
      <c r="KC129" s="95"/>
      <c r="KD129" s="95"/>
      <c r="KE129" s="95"/>
      <c r="KF129" s="95"/>
      <c r="KG129" s="95"/>
      <c r="KH129" s="95"/>
      <c r="KI129" s="95"/>
      <c r="KJ129" s="95"/>
      <c r="KK129" s="95"/>
      <c r="KL129" s="95"/>
      <c r="KM129" s="95"/>
      <c r="KN129" s="95"/>
      <c r="KO129" s="95"/>
      <c r="KP129" s="95"/>
      <c r="KQ129" s="95"/>
      <c r="KR129" s="95"/>
      <c r="KS129" s="95"/>
      <c r="KT129" s="95"/>
      <c r="KU129" s="95"/>
      <c r="KV129" s="95"/>
      <c r="KW129" s="95"/>
      <c r="KX129" s="95"/>
      <c r="KY129" s="95"/>
      <c r="KZ129" s="95"/>
      <c r="LA129" s="95"/>
      <c r="LB129" s="95"/>
      <c r="LC129" s="95"/>
      <c r="LD129" s="95"/>
      <c r="LE129" s="95"/>
      <c r="LF129" s="95"/>
      <c r="LG129" s="95"/>
      <c r="LH129" s="95"/>
      <c r="LI129" s="95"/>
      <c r="LJ129" s="95"/>
      <c r="LK129" s="95"/>
      <c r="LL129" s="95"/>
      <c r="LM129" s="95"/>
      <c r="LN129" s="95"/>
      <c r="LO129" s="95"/>
      <c r="LP129" s="95"/>
      <c r="LQ129" s="95"/>
      <c r="LR129" s="95"/>
      <c r="LS129" s="95"/>
      <c r="LT129" s="95"/>
      <c r="LU129" s="95"/>
      <c r="LV129" s="95"/>
      <c r="LW129" s="95"/>
      <c r="LX129" s="95"/>
      <c r="LY129" s="95"/>
      <c r="LZ129" s="95"/>
      <c r="MA129" s="95"/>
      <c r="MB129" s="95"/>
      <c r="MC129" s="95"/>
      <c r="MD129" s="95"/>
      <c r="ME129" s="95"/>
      <c r="MF129" s="95"/>
      <c r="MG129" s="95"/>
      <c r="MH129" s="95"/>
      <c r="MI129" s="95"/>
      <c r="MJ129" s="95"/>
      <c r="MK129" s="95"/>
      <c r="ML129" s="95"/>
      <c r="MM129" s="95"/>
      <c r="MN129" s="95"/>
      <c r="MO129" s="95"/>
      <c r="MP129" s="95"/>
      <c r="MQ129" s="95"/>
      <c r="MR129" s="95"/>
      <c r="MS129" s="95"/>
      <c r="MT129" s="95"/>
      <c r="MU129" s="95"/>
      <c r="MV129" s="95"/>
      <c r="MW129" s="95"/>
      <c r="MX129" s="95"/>
      <c r="MY129" s="95"/>
      <c r="MZ129" s="95"/>
      <c r="NA129" s="95"/>
      <c r="NB129" s="95"/>
      <c r="NC129" s="95"/>
      <c r="ND129" s="95"/>
      <c r="NE129" s="95"/>
      <c r="NF129" s="95"/>
      <c r="NG129" s="95"/>
      <c r="NH129" s="95"/>
      <c r="NI129" s="95"/>
      <c r="NJ129" s="95"/>
      <c r="NK129" s="95"/>
      <c r="NL129" s="95"/>
      <c r="NM129" s="95"/>
      <c r="NN129" s="95"/>
      <c r="NO129" s="95"/>
      <c r="NP129" s="95"/>
      <c r="NQ129" s="95"/>
      <c r="NR129" s="95"/>
      <c r="NS129" s="95"/>
      <c r="NT129" s="95"/>
      <c r="NU129" s="95"/>
      <c r="NV129" s="95"/>
      <c r="NW129" s="95"/>
      <c r="NX129" s="95"/>
      <c r="NY129" s="95"/>
      <c r="NZ129" s="95"/>
      <c r="OA129" s="95"/>
      <c r="OB129" s="95"/>
      <c r="OC129" s="95"/>
      <c r="OD129" s="95"/>
      <c r="OE129" s="95"/>
      <c r="OF129" s="95"/>
      <c r="OG129" s="95"/>
      <c r="OH129" s="95"/>
      <c r="OI129" s="95"/>
      <c r="OJ129" s="95"/>
      <c r="OK129" s="95"/>
      <c r="OL129" s="95"/>
      <c r="OM129" s="95"/>
      <c r="ON129" s="95"/>
      <c r="OO129" s="95"/>
      <c r="OP129" s="95"/>
      <c r="OQ129" s="95"/>
      <c r="OR129" s="95"/>
      <c r="OS129" s="95"/>
      <c r="OT129" s="95"/>
      <c r="OU129" s="95"/>
      <c r="OV129" s="95"/>
      <c r="OW129" s="95"/>
      <c r="OX129" s="95"/>
      <c r="OY129" s="95"/>
      <c r="OZ129" s="95"/>
      <c r="PA129" s="95"/>
      <c r="PB129" s="95"/>
      <c r="PC129" s="95"/>
      <c r="PD129" s="95"/>
      <c r="PE129" s="95"/>
      <c r="PF129" s="95"/>
      <c r="PG129" s="95"/>
      <c r="PH129" s="95"/>
      <c r="PI129" s="95"/>
      <c r="PJ129" s="95"/>
      <c r="PK129" s="95"/>
      <c r="PL129" s="95"/>
      <c r="PM129" s="95"/>
      <c r="PN129" s="95"/>
      <c r="PO129" s="95"/>
      <c r="PP129" s="95"/>
      <c r="PQ129" s="95"/>
      <c r="PR129" s="95"/>
      <c r="PS129" s="95"/>
      <c r="PT129" s="95"/>
      <c r="PU129" s="95"/>
      <c r="PV129" s="95"/>
      <c r="PW129" s="95"/>
      <c r="PX129" s="95"/>
      <c r="PY129" s="95"/>
      <c r="PZ129" s="95"/>
      <c r="QA129" s="95"/>
      <c r="QB129" s="95"/>
      <c r="QC129" s="95"/>
      <c r="QD129" s="95"/>
      <c r="QE129" s="95"/>
      <c r="QF129" s="95"/>
      <c r="QG129" s="95"/>
      <c r="QH129" s="95"/>
      <c r="QI129" s="95"/>
      <c r="QJ129" s="95"/>
      <c r="QK129" s="95"/>
      <c r="QL129" s="95"/>
      <c r="QM129" s="95"/>
      <c r="QN129" s="95"/>
      <c r="QO129" s="95"/>
      <c r="QP129" s="95"/>
      <c r="QQ129" s="95"/>
      <c r="QR129" s="95"/>
      <c r="QS129" s="95"/>
      <c r="QT129" s="95"/>
      <c r="QU129" s="95"/>
      <c r="QV129" s="95"/>
      <c r="QW129" s="95"/>
      <c r="QX129" s="95"/>
      <c r="QY129" s="95"/>
      <c r="QZ129" s="95"/>
      <c r="RA129" s="95"/>
      <c r="RB129" s="95"/>
      <c r="RC129" s="95"/>
      <c r="RD129" s="95"/>
      <c r="RE129" s="95"/>
      <c r="RF129" s="95"/>
      <c r="RG129" s="95"/>
      <c r="RH129" s="95"/>
      <c r="RI129" s="95"/>
      <c r="RJ129" s="95"/>
      <c r="RK129" s="95"/>
      <c r="RL129" s="95"/>
      <c r="RM129" s="95"/>
      <c r="RN129" s="95"/>
      <c r="RO129" s="95"/>
      <c r="RP129" s="95"/>
      <c r="RQ129" s="95"/>
      <c r="RR129" s="95"/>
      <c r="RS129" s="95"/>
      <c r="RT129" s="95"/>
      <c r="RU129" s="95"/>
      <c r="RV129" s="95"/>
      <c r="RW129" s="95"/>
      <c r="RX129" s="95"/>
      <c r="RY129" s="95"/>
      <c r="RZ129" s="95"/>
      <c r="SA129" s="95"/>
      <c r="SB129" s="95"/>
      <c r="SC129" s="95"/>
      <c r="SD129" s="95"/>
      <c r="SE129" s="95"/>
      <c r="SF129" s="95"/>
      <c r="SG129" s="95"/>
      <c r="SH129" s="95"/>
      <c r="SI129" s="95"/>
      <c r="SJ129" s="95"/>
      <c r="SK129" s="95"/>
      <c r="SL129" s="95"/>
      <c r="SM129" s="95"/>
      <c r="SN129" s="95"/>
      <c r="SO129" s="95"/>
      <c r="SP129" s="95"/>
      <c r="SQ129" s="95"/>
      <c r="SR129" s="95"/>
      <c r="SS129" s="95"/>
      <c r="ST129" s="95"/>
      <c r="SU129" s="95"/>
      <c r="SV129" s="95"/>
      <c r="SW129" s="95"/>
      <c r="SX129" s="95"/>
      <c r="SY129" s="95"/>
      <c r="SZ129" s="95"/>
      <c r="TA129" s="95"/>
      <c r="TB129" s="95"/>
      <c r="TC129" s="95"/>
      <c r="TD129" s="95"/>
      <c r="TE129" s="95"/>
      <c r="TF129" s="95"/>
      <c r="TG129" s="95"/>
      <c r="TH129" s="95"/>
      <c r="TI129" s="95"/>
      <c r="TJ129" s="95"/>
      <c r="TK129" s="95"/>
      <c r="TL129" s="95"/>
      <c r="TM129" s="95"/>
      <c r="TN129" s="95"/>
      <c r="TO129" s="95"/>
      <c r="TP129" s="95"/>
      <c r="TQ129" s="95"/>
      <c r="TR129" s="95"/>
      <c r="TS129" s="95"/>
      <c r="TT129" s="95"/>
      <c r="TU129" s="95"/>
      <c r="TV129" s="95"/>
      <c r="TW129" s="95"/>
      <c r="TX129" s="95"/>
      <c r="TY129" s="95"/>
      <c r="TZ129" s="95"/>
      <c r="UA129" s="95"/>
      <c r="UB129" s="95"/>
      <c r="UC129" s="95"/>
      <c r="UD129" s="95"/>
      <c r="UE129" s="95"/>
      <c r="UF129" s="95"/>
      <c r="UG129" s="95"/>
      <c r="UH129" s="95"/>
      <c r="UI129" s="95"/>
      <c r="UJ129" s="95"/>
      <c r="UK129" s="95"/>
      <c r="UL129" s="95"/>
      <c r="UM129" s="95"/>
      <c r="UN129" s="95"/>
      <c r="UO129" s="95"/>
      <c r="UP129" s="95"/>
      <c r="UQ129" s="95"/>
      <c r="UR129" s="95"/>
      <c r="US129" s="95"/>
      <c r="UT129" s="95"/>
      <c r="UU129" s="95"/>
      <c r="UV129" s="95"/>
      <c r="UW129" s="95"/>
      <c r="UX129" s="95"/>
      <c r="UY129" s="95"/>
      <c r="UZ129" s="95"/>
      <c r="VA129" s="95"/>
      <c r="VB129" s="95"/>
      <c r="VC129" s="95"/>
      <c r="VD129" s="95"/>
      <c r="VE129" s="95"/>
      <c r="VF129" s="95"/>
      <c r="VG129" s="95"/>
      <c r="VH129" s="95"/>
      <c r="VI129" s="95"/>
      <c r="VJ129" s="95"/>
      <c r="VK129" s="95"/>
      <c r="VL129" s="95"/>
      <c r="VM129" s="95"/>
      <c r="VN129" s="95"/>
      <c r="VO129" s="95"/>
      <c r="VP129" s="95"/>
      <c r="VQ129" s="95"/>
      <c r="VR129" s="95"/>
      <c r="VS129" s="95"/>
      <c r="VT129" s="95"/>
      <c r="VU129" s="95"/>
      <c r="VV129" s="95"/>
      <c r="VW129" s="95"/>
      <c r="VX129" s="95"/>
      <c r="VY129" s="95"/>
      <c r="VZ129" s="95"/>
      <c r="WA129" s="95"/>
      <c r="WB129" s="95"/>
      <c r="WC129" s="95"/>
      <c r="WD129" s="95"/>
      <c r="WE129" s="95"/>
      <c r="WF129" s="95"/>
      <c r="WG129" s="95"/>
      <c r="WH129" s="95"/>
      <c r="WI129" s="95"/>
      <c r="WJ129" s="95"/>
      <c r="WK129" s="95"/>
      <c r="WL129" s="95"/>
      <c r="WM129" s="95"/>
      <c r="WN129" s="95"/>
      <c r="WO129" s="95"/>
      <c r="WP129" s="95"/>
      <c r="WQ129" s="95"/>
      <c r="WR129" s="95"/>
      <c r="WS129" s="95"/>
      <c r="WT129" s="95"/>
      <c r="WU129" s="95"/>
      <c r="WV129" s="95"/>
      <c r="WW129" s="95"/>
      <c r="WX129" s="95"/>
      <c r="WY129" s="95"/>
      <c r="WZ129" s="95"/>
      <c r="XA129" s="95"/>
      <c r="XB129" s="95"/>
      <c r="XC129" s="95"/>
      <c r="XD129" s="95"/>
      <c r="XE129" s="95"/>
      <c r="XF129" s="95"/>
      <c r="XG129" s="95"/>
      <c r="XH129" s="95"/>
      <c r="XI129" s="95"/>
      <c r="XJ129" s="95"/>
      <c r="XK129" s="95"/>
      <c r="XL129" s="95"/>
      <c r="XM129" s="95"/>
      <c r="XN129" s="95"/>
      <c r="XO129" s="95"/>
      <c r="XP129" s="95"/>
      <c r="XQ129" s="95"/>
      <c r="XR129" s="95"/>
      <c r="XS129" s="95"/>
      <c r="XT129" s="95"/>
      <c r="XU129" s="95"/>
      <c r="XV129" s="95"/>
      <c r="XW129" s="95"/>
      <c r="XX129" s="95"/>
      <c r="XY129" s="95"/>
      <c r="XZ129" s="95"/>
      <c r="YA129" s="95"/>
      <c r="YB129" s="95"/>
      <c r="YC129" s="95"/>
      <c r="YD129" s="95"/>
      <c r="YE129" s="95"/>
      <c r="YF129" s="95"/>
      <c r="YG129" s="95"/>
      <c r="YH129" s="95"/>
      <c r="YI129" s="95"/>
      <c r="YJ129" s="95"/>
      <c r="YK129" s="95"/>
      <c r="YL129" s="95"/>
      <c r="YM129" s="95"/>
      <c r="YN129" s="95"/>
      <c r="YO129" s="95"/>
      <c r="YP129" s="95"/>
      <c r="YQ129" s="95"/>
      <c r="YR129" s="95"/>
      <c r="YS129" s="95"/>
      <c r="YT129" s="95"/>
      <c r="YU129" s="95"/>
      <c r="YV129" s="95"/>
      <c r="YW129" s="95"/>
      <c r="YX129" s="95"/>
      <c r="YY129" s="95"/>
      <c r="YZ129" s="95"/>
      <c r="ZA129" s="95"/>
      <c r="ZB129" s="95"/>
      <c r="ZC129" s="95"/>
      <c r="ZD129" s="95"/>
      <c r="ZE129" s="95"/>
      <c r="ZF129" s="95"/>
      <c r="ZG129" s="95"/>
      <c r="ZH129" s="95"/>
      <c r="ZI129" s="95"/>
      <c r="ZJ129" s="95"/>
      <c r="ZK129" s="95"/>
      <c r="ZL129" s="95"/>
      <c r="ZM129" s="95"/>
      <c r="ZN129" s="95"/>
      <c r="ZO129" s="95"/>
      <c r="ZP129" s="95"/>
      <c r="ZQ129" s="95"/>
      <c r="ZR129" s="95"/>
      <c r="ZS129" s="95"/>
      <c r="ZT129" s="95"/>
      <c r="ZU129" s="95"/>
      <c r="ZV129" s="95"/>
      <c r="ZW129" s="95"/>
      <c r="ZX129" s="95"/>
      <c r="ZY129" s="95"/>
      <c r="ZZ129" s="95"/>
      <c r="AAA129" s="95"/>
      <c r="AAB129" s="95"/>
      <c r="AAC129" s="95"/>
      <c r="AAD129" s="95"/>
      <c r="AAE129" s="95"/>
      <c r="AAF129" s="95"/>
      <c r="AAG129" s="95"/>
      <c r="AAH129" s="95"/>
      <c r="AAI129" s="95"/>
      <c r="AAJ129" s="95"/>
      <c r="AAK129" s="95"/>
      <c r="AAL129" s="95"/>
      <c r="AAM129" s="95"/>
      <c r="AAN129" s="95"/>
      <c r="AAO129" s="95"/>
      <c r="AAP129" s="95"/>
      <c r="AAQ129" s="95"/>
      <c r="AAR129" s="95"/>
      <c r="AAS129" s="95"/>
      <c r="AAT129" s="95"/>
      <c r="AAU129" s="95"/>
      <c r="AAV129" s="95"/>
      <c r="AAW129" s="95"/>
      <c r="AAX129" s="95"/>
      <c r="AAY129" s="95"/>
      <c r="AAZ129" s="95"/>
      <c r="ABA129" s="95"/>
      <c r="ABB129" s="95"/>
      <c r="ABC129" s="95"/>
      <c r="ABD129" s="95"/>
      <c r="ABE129" s="95"/>
      <c r="ABF129" s="95"/>
      <c r="ABG129" s="95"/>
      <c r="ABH129" s="95"/>
      <c r="ABI129" s="95"/>
      <c r="ABJ129" s="95"/>
      <c r="ABK129" s="95"/>
      <c r="ABL129" s="95"/>
      <c r="ABM129" s="95"/>
      <c r="ABN129" s="95"/>
      <c r="ABO129" s="95"/>
      <c r="ABP129" s="95"/>
      <c r="ABQ129" s="95"/>
      <c r="ABR129" s="95"/>
      <c r="ABS129" s="95"/>
      <c r="ABT129" s="95"/>
      <c r="ABU129" s="95"/>
      <c r="ABV129" s="95"/>
      <c r="ABW129" s="95"/>
      <c r="ABX129" s="95"/>
      <c r="ABY129" s="95"/>
      <c r="ABZ129" s="95"/>
      <c r="ACA129" s="95"/>
      <c r="ACB129" s="95"/>
      <c r="ACC129" s="95"/>
      <c r="ACD129" s="95"/>
      <c r="ACE129" s="95"/>
      <c r="ACF129" s="95"/>
      <c r="ACG129" s="95"/>
      <c r="ACH129" s="95"/>
      <c r="ACI129" s="95"/>
      <c r="ACJ129" s="95"/>
      <c r="ACK129" s="95"/>
      <c r="ACL129" s="95"/>
      <c r="ACM129" s="95"/>
      <c r="ACN129" s="95"/>
      <c r="ACO129" s="95"/>
      <c r="ACP129" s="95"/>
      <c r="ACQ129" s="95"/>
      <c r="ACR129" s="95"/>
      <c r="ACS129" s="95"/>
      <c r="ACT129" s="95"/>
      <c r="ACU129" s="95"/>
      <c r="ACV129" s="95"/>
      <c r="ACW129" s="95"/>
      <c r="ACX129" s="95"/>
      <c r="ACY129" s="95"/>
      <c r="ACZ129" s="95"/>
      <c r="ADA129" s="95"/>
      <c r="ADB129" s="95"/>
      <c r="ADC129" s="95"/>
      <c r="ADD129" s="95"/>
      <c r="ADE129" s="95"/>
      <c r="ADF129" s="95"/>
      <c r="ADG129" s="95"/>
      <c r="ADH129" s="95"/>
      <c r="ADI129" s="95"/>
      <c r="ADJ129" s="95"/>
      <c r="ADK129" s="95"/>
      <c r="ADL129" s="95"/>
      <c r="ADM129" s="95"/>
      <c r="ADN129" s="95"/>
      <c r="ADO129" s="95"/>
      <c r="ADP129" s="95"/>
      <c r="ADQ129" s="95"/>
      <c r="ADR129" s="95"/>
      <c r="ADS129" s="95"/>
      <c r="ADT129" s="95"/>
      <c r="ADU129" s="95"/>
      <c r="ADV129" s="95"/>
      <c r="ADW129" s="95"/>
      <c r="ADX129" s="95"/>
      <c r="ADY129" s="95"/>
      <c r="ADZ129" s="95"/>
      <c r="AEA129" s="95"/>
      <c r="AEB129" s="95"/>
      <c r="AEC129" s="95"/>
      <c r="AED129" s="95"/>
      <c r="AEE129" s="95"/>
      <c r="AEF129" s="95"/>
      <c r="AEG129" s="95"/>
      <c r="AEH129" s="95"/>
      <c r="AEI129" s="95"/>
      <c r="AEJ129" s="95"/>
      <c r="AEK129" s="95"/>
      <c r="AEL129" s="95"/>
      <c r="AEM129" s="95"/>
      <c r="AEN129" s="95"/>
      <c r="AEO129" s="95"/>
      <c r="AEP129" s="95"/>
      <c r="AEQ129" s="95"/>
      <c r="AER129" s="95"/>
      <c r="AES129" s="95"/>
      <c r="AET129" s="95"/>
      <c r="AEU129" s="95"/>
      <c r="AEV129" s="95"/>
      <c r="AEW129" s="95"/>
      <c r="AEX129" s="95"/>
      <c r="AEY129" s="95"/>
      <c r="AEZ129" s="95"/>
      <c r="AFA129" s="95"/>
      <c r="AFB129" s="95"/>
      <c r="AFC129" s="95"/>
      <c r="AFD129" s="95"/>
      <c r="AFE129" s="95"/>
      <c r="AFF129" s="95"/>
      <c r="AFG129" s="95"/>
      <c r="AFH129" s="95"/>
      <c r="AFI129" s="95"/>
      <c r="AFJ129" s="95"/>
      <c r="AFK129" s="95"/>
      <c r="AFL129" s="95"/>
      <c r="AFM129" s="95"/>
      <c r="AFN129" s="95"/>
      <c r="AFO129" s="95"/>
      <c r="AFP129" s="95"/>
      <c r="AFQ129" s="95"/>
      <c r="AFR129" s="95"/>
      <c r="AFS129" s="95"/>
      <c r="AFT129" s="95"/>
      <c r="AFU129" s="95"/>
      <c r="AFV129" s="95"/>
      <c r="AFW129" s="95"/>
      <c r="AFX129" s="95"/>
      <c r="AFY129" s="95"/>
      <c r="AFZ129" s="95"/>
      <c r="AGA129" s="95"/>
      <c r="AGB129" s="95"/>
      <c r="AGC129" s="95"/>
      <c r="AGD129" s="95"/>
      <c r="AGE129" s="95"/>
      <c r="AGF129" s="95"/>
      <c r="AGG129" s="95"/>
      <c r="AGH129" s="95"/>
      <c r="AGI129" s="95"/>
      <c r="AGJ129" s="95"/>
      <c r="AGK129" s="95"/>
      <c r="AGL129" s="95"/>
      <c r="AGM129" s="95"/>
      <c r="AGN129" s="95"/>
      <c r="AGO129" s="95"/>
      <c r="AGP129" s="95"/>
      <c r="AGQ129" s="95"/>
      <c r="AGR129" s="95"/>
      <c r="AGS129" s="95"/>
      <c r="AGT129" s="95"/>
      <c r="AGU129" s="95"/>
      <c r="AGV129" s="95"/>
      <c r="AGW129" s="95"/>
      <c r="AGX129" s="95"/>
      <c r="AGY129" s="95"/>
      <c r="AGZ129" s="95"/>
      <c r="AHA129" s="95"/>
      <c r="AHB129" s="95"/>
      <c r="AHC129" s="95"/>
      <c r="AHD129" s="95"/>
      <c r="AHE129" s="95"/>
      <c r="AHF129" s="95"/>
      <c r="AHG129" s="95"/>
      <c r="AHH129" s="95"/>
      <c r="AHI129" s="95"/>
      <c r="AHJ129" s="95"/>
      <c r="AHK129" s="95"/>
      <c r="AHL129" s="95"/>
      <c r="AHM129" s="95"/>
      <c r="AHN129" s="95"/>
      <c r="AHO129" s="95"/>
      <c r="AHP129" s="95"/>
      <c r="AHQ129" s="95"/>
      <c r="AHR129" s="95"/>
      <c r="AHS129" s="95"/>
      <c r="AHT129" s="95"/>
      <c r="AHU129" s="95"/>
      <c r="AHV129" s="95"/>
      <c r="AHW129" s="95"/>
      <c r="AHX129" s="95"/>
      <c r="AHY129" s="95"/>
      <c r="AHZ129" s="95"/>
      <c r="AIA129" s="95"/>
      <c r="AIB129" s="95"/>
      <c r="AIC129" s="95"/>
      <c r="AID129" s="95"/>
      <c r="AIE129" s="95"/>
      <c r="AIF129" s="95"/>
      <c r="AIG129" s="95"/>
      <c r="AIH129" s="95"/>
      <c r="AII129" s="95"/>
      <c r="AIJ129" s="95"/>
      <c r="AIK129" s="95"/>
      <c r="AIL129" s="95"/>
      <c r="AIM129" s="95"/>
      <c r="AIN129" s="95"/>
      <c r="AIO129" s="95"/>
      <c r="AIP129" s="95"/>
      <c r="AIQ129" s="95"/>
      <c r="AIR129" s="95"/>
      <c r="AIS129" s="95"/>
      <c r="AIT129" s="95"/>
      <c r="AIU129" s="95"/>
      <c r="AIV129" s="95"/>
      <c r="AIW129" s="95"/>
      <c r="AIX129" s="95"/>
      <c r="AIY129" s="95"/>
      <c r="AIZ129" s="95"/>
      <c r="AJA129" s="95"/>
      <c r="AJB129" s="95"/>
      <c r="AJC129" s="95"/>
      <c r="AJD129" s="95"/>
      <c r="AJE129" s="95"/>
      <c r="AJF129" s="95"/>
      <c r="AJG129" s="95"/>
      <c r="AJH129" s="95"/>
      <c r="AJI129" s="95"/>
      <c r="AJJ129" s="95"/>
      <c r="AJK129" s="95"/>
      <c r="AJL129" s="95"/>
      <c r="AJM129" s="95"/>
      <c r="AJN129" s="95"/>
      <c r="AJO129" s="95"/>
      <c r="AJP129" s="95"/>
      <c r="AJQ129" s="95"/>
      <c r="AJR129" s="95"/>
      <c r="AJS129" s="95"/>
      <c r="AJT129" s="95"/>
      <c r="AJU129" s="95"/>
      <c r="AJV129" s="95"/>
      <c r="AJW129" s="95"/>
      <c r="AJX129" s="95"/>
      <c r="AJY129" s="95"/>
      <c r="AJZ129" s="95"/>
      <c r="AKA129" s="95"/>
      <c r="AKB129" s="95"/>
      <c r="AKC129" s="95"/>
      <c r="AKD129" s="95"/>
      <c r="AKE129" s="95"/>
      <c r="AKF129" s="95"/>
      <c r="AKG129" s="95"/>
      <c r="AKH129" s="95"/>
      <c r="AKI129" s="95"/>
      <c r="AKJ129" s="95"/>
      <c r="AKK129" s="95"/>
      <c r="AKL129" s="95"/>
      <c r="AKM129" s="95"/>
      <c r="AKN129" s="95"/>
      <c r="AKO129" s="95"/>
      <c r="AKP129" s="95"/>
      <c r="AKQ129" s="95"/>
      <c r="AKR129" s="95"/>
      <c r="AKS129" s="95"/>
      <c r="AKT129" s="95"/>
      <c r="AKU129" s="95"/>
      <c r="AKV129" s="95"/>
      <c r="AKW129" s="95"/>
      <c r="AKX129" s="95"/>
      <c r="AKY129" s="95"/>
      <c r="AKZ129" s="95"/>
      <c r="ALA129" s="95"/>
      <c r="ALB129" s="95"/>
      <c r="ALC129" s="95"/>
      <c r="ALD129" s="95"/>
      <c r="ALE129" s="95"/>
      <c r="ALF129" s="95"/>
      <c r="ALG129" s="95"/>
      <c r="ALH129" s="95"/>
      <c r="ALI129" s="95"/>
      <c r="ALJ129" s="95"/>
      <c r="ALK129" s="95"/>
      <c r="ALL129" s="95"/>
      <c r="ALM129" s="95"/>
      <c r="ALN129" s="95"/>
      <c r="ALO129" s="95"/>
      <c r="ALP129" s="95"/>
      <c r="ALQ129" s="95"/>
      <c r="ALR129" s="95"/>
      <c r="ALS129" s="95"/>
      <c r="ALT129" s="95"/>
      <c r="ALU129" s="95"/>
      <c r="ALV129" s="95"/>
      <c r="ALW129" s="95"/>
      <c r="ALX129" s="95"/>
      <c r="ALY129" s="95"/>
      <c r="ALZ129" s="95"/>
      <c r="AMA129" s="95"/>
      <c r="AMB129" s="95"/>
      <c r="AMC129" s="95"/>
      <c r="AMD129" s="95"/>
      <c r="AME129" s="95"/>
      <c r="AMF129" s="95"/>
      <c r="AMG129" s="95"/>
      <c r="AMH129" s="95"/>
      <c r="AMI129" s="95"/>
      <c r="AMJ129" s="95"/>
      <c r="AMK129" s="95"/>
      <c r="AML129" s="95"/>
      <c r="AMM129" s="95"/>
      <c r="AMN129" s="95"/>
      <c r="AMO129" s="95"/>
      <c r="AMP129" s="95"/>
      <c r="AMQ129" s="95"/>
      <c r="AMR129" s="95"/>
      <c r="AMS129" s="95"/>
      <c r="AMT129" s="95"/>
      <c r="AMU129" s="95"/>
      <c r="AMV129" s="95"/>
      <c r="AMW129" s="95"/>
      <c r="AMX129" s="95"/>
    </row>
    <row r="130" spans="1:1038" ht="14.65" customHeight="1" x14ac:dyDescent="0.4">
      <c r="A130" s="114"/>
      <c r="B130" s="115"/>
      <c r="C130" s="115"/>
      <c r="D130" s="115"/>
      <c r="E130" s="115"/>
      <c r="F130" s="115"/>
      <c r="G130" s="115"/>
      <c r="H130" s="115"/>
      <c r="I130" s="115"/>
      <c r="J130" s="115"/>
      <c r="K130" s="199"/>
      <c r="L130" s="42"/>
      <c r="M130" s="42"/>
      <c r="N130" s="211"/>
      <c r="O130" s="116"/>
      <c r="P130" s="116"/>
      <c r="Q130" s="116"/>
      <c r="R130" s="116"/>
      <c r="S130" s="116"/>
      <c r="T130" s="116"/>
      <c r="U130" s="116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  <c r="AF130" s="92"/>
      <c r="AG130" s="92"/>
      <c r="AH130" s="92"/>
      <c r="AI130" s="92"/>
      <c r="AJ130" s="92"/>
      <c r="AK130" s="92"/>
      <c r="AL130" s="92"/>
      <c r="AM130" s="92"/>
      <c r="AN130" s="92"/>
      <c r="AO130" s="92"/>
      <c r="AP130" s="92"/>
      <c r="AQ130" s="92"/>
      <c r="AR130" s="92"/>
      <c r="AS130" s="92"/>
      <c r="AT130" s="92"/>
      <c r="AU130" s="92"/>
      <c r="AV130" s="92"/>
      <c r="AW130" s="92"/>
      <c r="AX130" s="92"/>
      <c r="AY130" s="92"/>
      <c r="AZ130" s="92"/>
      <c r="BA130" s="92"/>
      <c r="BB130" s="92"/>
      <c r="BC130" s="92"/>
      <c r="BD130" s="92"/>
      <c r="BE130" s="92"/>
      <c r="BF130" s="92"/>
      <c r="BG130" s="92"/>
      <c r="BH130" s="92"/>
      <c r="BI130" s="92"/>
      <c r="BJ130" s="92"/>
      <c r="BK130" s="92"/>
      <c r="BL130" s="92"/>
      <c r="BM130" s="92"/>
      <c r="BN130" s="92"/>
      <c r="BO130" s="92"/>
      <c r="BP130" s="92"/>
      <c r="BQ130" s="92"/>
      <c r="BR130" s="92"/>
      <c r="BS130" s="92"/>
      <c r="BT130" s="92"/>
      <c r="BU130" s="92"/>
      <c r="BV130" s="92"/>
      <c r="BW130" s="92"/>
      <c r="BX130" s="92"/>
      <c r="BY130" s="92"/>
      <c r="BZ130" s="92"/>
      <c r="CA130" s="92"/>
      <c r="CB130" s="92"/>
      <c r="CC130" s="92"/>
      <c r="CD130" s="92"/>
      <c r="CE130" s="92"/>
      <c r="CF130" s="92"/>
      <c r="CG130" s="92"/>
      <c r="CH130" s="92"/>
      <c r="CI130" s="92"/>
      <c r="CJ130" s="92"/>
      <c r="CK130" s="92"/>
      <c r="CL130" s="92"/>
      <c r="CM130" s="92"/>
      <c r="CN130" s="92"/>
      <c r="CO130" s="92"/>
      <c r="CP130" s="92"/>
      <c r="CQ130" s="92"/>
      <c r="CR130" s="92"/>
      <c r="CS130" s="92"/>
      <c r="CT130" s="92"/>
      <c r="CU130" s="92"/>
      <c r="CV130" s="92"/>
      <c r="CW130" s="92"/>
      <c r="CX130" s="92"/>
      <c r="CY130" s="92"/>
      <c r="CZ130" s="92"/>
      <c r="DA130" s="92"/>
      <c r="DB130" s="92"/>
      <c r="DC130" s="92"/>
      <c r="DD130" s="92"/>
      <c r="DE130" s="92"/>
      <c r="DF130" s="92"/>
      <c r="DG130" s="92"/>
      <c r="DH130" s="92"/>
      <c r="DI130" s="92"/>
      <c r="DJ130" s="92"/>
      <c r="DK130" s="92"/>
      <c r="DL130" s="92"/>
      <c r="DM130" s="92"/>
      <c r="DN130" s="92"/>
      <c r="DO130" s="92"/>
      <c r="DP130" s="92"/>
      <c r="DQ130" s="92"/>
      <c r="DR130" s="92"/>
      <c r="DS130" s="92"/>
      <c r="DT130" s="92"/>
      <c r="DU130" s="92"/>
      <c r="DV130" s="92"/>
      <c r="DW130" s="92"/>
      <c r="DX130" s="92"/>
      <c r="DY130" s="92"/>
      <c r="DZ130" s="92"/>
      <c r="EA130" s="92"/>
      <c r="EB130" s="92"/>
      <c r="EC130" s="92"/>
      <c r="ED130" s="92"/>
      <c r="EE130" s="92"/>
      <c r="EF130" s="92"/>
      <c r="EG130" s="92"/>
      <c r="EH130" s="92"/>
      <c r="EI130" s="92"/>
      <c r="EJ130" s="92"/>
      <c r="EK130" s="92"/>
      <c r="EL130" s="92"/>
      <c r="EM130" s="92"/>
      <c r="EN130" s="92"/>
      <c r="EO130" s="92"/>
      <c r="EP130" s="92"/>
      <c r="EQ130" s="92"/>
      <c r="ER130" s="92"/>
      <c r="ES130" s="92"/>
      <c r="ET130" s="92"/>
      <c r="EU130" s="92"/>
      <c r="EV130" s="92"/>
      <c r="EW130" s="92"/>
      <c r="EX130" s="92"/>
      <c r="EY130" s="92"/>
      <c r="EZ130" s="92"/>
      <c r="FA130" s="92"/>
      <c r="FB130" s="92"/>
      <c r="FC130" s="92"/>
      <c r="FD130" s="92"/>
      <c r="FE130" s="92"/>
      <c r="FF130" s="92"/>
      <c r="FG130" s="92"/>
      <c r="FH130" s="92"/>
      <c r="FI130" s="92"/>
      <c r="FJ130" s="92"/>
      <c r="FK130" s="92"/>
      <c r="FL130" s="92"/>
      <c r="FM130" s="92"/>
      <c r="FN130" s="92"/>
      <c r="FO130" s="92"/>
      <c r="FP130" s="92"/>
      <c r="FQ130" s="92"/>
      <c r="FR130" s="92"/>
      <c r="FS130" s="92"/>
      <c r="FT130" s="92"/>
      <c r="FU130" s="92"/>
      <c r="FV130" s="92"/>
      <c r="FW130" s="92"/>
      <c r="FX130" s="92"/>
      <c r="FY130" s="92"/>
      <c r="FZ130" s="92"/>
      <c r="GA130" s="92"/>
      <c r="GB130" s="92"/>
      <c r="GC130" s="92"/>
      <c r="GD130" s="92"/>
      <c r="GE130" s="92"/>
      <c r="GF130" s="92"/>
      <c r="GG130" s="92"/>
      <c r="GH130" s="92"/>
      <c r="GI130" s="92"/>
      <c r="GJ130" s="92"/>
      <c r="GK130" s="92"/>
      <c r="GL130" s="92"/>
      <c r="GM130" s="92"/>
      <c r="GN130" s="92"/>
      <c r="GO130" s="92"/>
      <c r="GP130" s="92"/>
      <c r="GQ130" s="92"/>
      <c r="GR130" s="92"/>
      <c r="GS130" s="92"/>
      <c r="GT130" s="92"/>
      <c r="GU130" s="92"/>
      <c r="GV130" s="92"/>
      <c r="GW130" s="92"/>
      <c r="GX130" s="92"/>
      <c r="GY130" s="92"/>
      <c r="GZ130" s="92"/>
      <c r="HA130" s="92"/>
      <c r="HB130" s="92"/>
      <c r="HC130" s="92"/>
      <c r="HD130" s="92"/>
      <c r="HE130" s="92"/>
      <c r="HF130" s="92"/>
      <c r="HG130" s="92"/>
      <c r="HH130" s="92"/>
      <c r="HI130" s="92"/>
      <c r="HJ130" s="92"/>
      <c r="HK130" s="92"/>
      <c r="HL130" s="92"/>
      <c r="HM130" s="92"/>
      <c r="HN130" s="92"/>
      <c r="HO130" s="92"/>
      <c r="HP130" s="92"/>
      <c r="HQ130" s="92"/>
      <c r="HR130" s="92"/>
      <c r="HS130" s="92"/>
      <c r="HT130" s="92"/>
      <c r="HU130" s="92"/>
      <c r="HV130" s="92"/>
      <c r="HW130" s="92"/>
      <c r="HX130" s="92"/>
      <c r="HY130" s="92"/>
      <c r="HZ130" s="92"/>
      <c r="IA130" s="92"/>
      <c r="IB130" s="92"/>
      <c r="IC130" s="92"/>
      <c r="ID130" s="92"/>
      <c r="IE130" s="92"/>
      <c r="IF130" s="92"/>
      <c r="IG130" s="92"/>
      <c r="IH130" s="92"/>
      <c r="II130" s="92"/>
      <c r="IJ130" s="92"/>
      <c r="IK130" s="92"/>
      <c r="IL130" s="92"/>
      <c r="IM130" s="92"/>
      <c r="IN130" s="92"/>
      <c r="IO130" s="92"/>
      <c r="IP130" s="92"/>
      <c r="IQ130" s="92"/>
      <c r="IR130" s="92"/>
      <c r="IS130" s="92"/>
      <c r="IT130" s="92"/>
      <c r="IU130" s="92"/>
      <c r="IV130" s="92"/>
      <c r="IW130" s="92"/>
      <c r="IX130" s="92"/>
      <c r="IY130" s="92"/>
      <c r="IZ130" s="92"/>
      <c r="JA130" s="92"/>
      <c r="JB130" s="92"/>
      <c r="JC130" s="92"/>
      <c r="JD130" s="92"/>
      <c r="JE130" s="92"/>
      <c r="JF130" s="92"/>
      <c r="JG130" s="92"/>
      <c r="JH130" s="92"/>
      <c r="JI130" s="92"/>
      <c r="JJ130" s="92"/>
      <c r="JK130" s="92"/>
      <c r="JL130" s="92"/>
      <c r="JM130" s="92"/>
      <c r="JN130" s="92"/>
      <c r="JO130" s="92"/>
      <c r="JP130" s="92"/>
      <c r="JQ130" s="92"/>
      <c r="JR130" s="92"/>
      <c r="JS130" s="92"/>
      <c r="JT130" s="92"/>
      <c r="JU130" s="92"/>
      <c r="JV130" s="92"/>
      <c r="JW130" s="92"/>
      <c r="JX130" s="92"/>
      <c r="JY130" s="92"/>
      <c r="JZ130" s="92"/>
      <c r="KA130" s="92"/>
      <c r="KB130" s="92"/>
      <c r="KC130" s="92"/>
      <c r="KD130" s="92"/>
      <c r="KE130" s="92"/>
      <c r="KF130" s="92"/>
      <c r="KG130" s="92"/>
      <c r="KH130" s="92"/>
      <c r="KI130" s="92"/>
      <c r="KJ130" s="92"/>
      <c r="KK130" s="92"/>
      <c r="KL130" s="92"/>
      <c r="KM130" s="92"/>
      <c r="KN130" s="92"/>
      <c r="KO130" s="92"/>
      <c r="KP130" s="92"/>
      <c r="KQ130" s="92"/>
      <c r="KR130" s="92"/>
      <c r="KS130" s="92"/>
      <c r="KT130" s="92"/>
      <c r="KU130" s="92"/>
      <c r="KV130" s="92"/>
      <c r="KW130" s="92"/>
      <c r="KX130" s="92"/>
      <c r="KY130" s="92"/>
      <c r="KZ130" s="92"/>
      <c r="LA130" s="92"/>
      <c r="LB130" s="92"/>
      <c r="LC130" s="92"/>
      <c r="LD130" s="92"/>
      <c r="LE130" s="92"/>
      <c r="LF130" s="92"/>
      <c r="LG130" s="92"/>
      <c r="LH130" s="92"/>
      <c r="LI130" s="92"/>
      <c r="LJ130" s="92"/>
      <c r="LK130" s="92"/>
      <c r="LL130" s="92"/>
      <c r="LM130" s="92"/>
      <c r="LN130" s="92"/>
      <c r="LO130" s="92"/>
      <c r="LP130" s="92"/>
      <c r="LQ130" s="92"/>
      <c r="LR130" s="92"/>
      <c r="LS130" s="92"/>
      <c r="LT130" s="92"/>
      <c r="LU130" s="92"/>
      <c r="LV130" s="92"/>
      <c r="LW130" s="92"/>
      <c r="LX130" s="92"/>
      <c r="LY130" s="92"/>
      <c r="LZ130" s="92"/>
      <c r="MA130" s="92"/>
      <c r="MB130" s="92"/>
      <c r="MC130" s="92"/>
      <c r="MD130" s="92"/>
      <c r="ME130" s="92"/>
      <c r="MF130" s="92"/>
      <c r="MG130" s="92"/>
      <c r="MH130" s="92"/>
      <c r="MI130" s="92"/>
      <c r="MJ130" s="92"/>
      <c r="MK130" s="92"/>
      <c r="ML130" s="92"/>
      <c r="MM130" s="92"/>
      <c r="MN130" s="92"/>
      <c r="MO130" s="92"/>
      <c r="MP130" s="92"/>
      <c r="MQ130" s="92"/>
      <c r="MR130" s="92"/>
      <c r="MS130" s="92"/>
      <c r="MT130" s="92"/>
      <c r="MU130" s="92"/>
      <c r="MV130" s="92"/>
      <c r="MW130" s="92"/>
      <c r="MX130" s="92"/>
      <c r="MY130" s="92"/>
      <c r="MZ130" s="92"/>
      <c r="NA130" s="92"/>
      <c r="NB130" s="92"/>
      <c r="NC130" s="92"/>
      <c r="ND130" s="92"/>
      <c r="NE130" s="92"/>
      <c r="NF130" s="92"/>
      <c r="NG130" s="92"/>
      <c r="NH130" s="92"/>
      <c r="NI130" s="92"/>
      <c r="NJ130" s="92"/>
      <c r="NK130" s="92"/>
      <c r="NL130" s="92"/>
      <c r="NM130" s="92"/>
      <c r="NN130" s="92"/>
      <c r="NO130" s="92"/>
      <c r="NP130" s="92"/>
      <c r="NQ130" s="92"/>
      <c r="NR130" s="92"/>
      <c r="NS130" s="92"/>
      <c r="NT130" s="92"/>
      <c r="NU130" s="92"/>
      <c r="NV130" s="92"/>
      <c r="NW130" s="92"/>
      <c r="NX130" s="92"/>
      <c r="NY130" s="92"/>
      <c r="NZ130" s="92"/>
      <c r="OA130" s="92"/>
      <c r="OB130" s="92"/>
      <c r="OC130" s="92"/>
      <c r="OD130" s="92"/>
      <c r="OE130" s="92"/>
      <c r="OF130" s="92"/>
      <c r="OG130" s="92"/>
      <c r="OH130" s="92"/>
      <c r="OI130" s="92"/>
      <c r="OJ130" s="92"/>
      <c r="OK130" s="92"/>
      <c r="OL130" s="92"/>
      <c r="OM130" s="92"/>
      <c r="ON130" s="92"/>
      <c r="OO130" s="92"/>
      <c r="OP130" s="92"/>
      <c r="OQ130" s="92"/>
      <c r="OR130" s="92"/>
      <c r="OS130" s="92"/>
      <c r="OT130" s="92"/>
      <c r="OU130" s="92"/>
      <c r="OV130" s="92"/>
      <c r="OW130" s="92"/>
      <c r="OX130" s="92"/>
      <c r="OY130" s="92"/>
      <c r="OZ130" s="92"/>
      <c r="PA130" s="92"/>
      <c r="PB130" s="92"/>
      <c r="PC130" s="92"/>
      <c r="PD130" s="92"/>
      <c r="PE130" s="92"/>
      <c r="PF130" s="92"/>
      <c r="PG130" s="92"/>
      <c r="PH130" s="92"/>
      <c r="PI130" s="92"/>
      <c r="PJ130" s="92"/>
      <c r="PK130" s="92"/>
      <c r="PL130" s="92"/>
      <c r="PM130" s="92"/>
      <c r="PN130" s="92"/>
      <c r="PO130" s="92"/>
      <c r="PP130" s="92"/>
      <c r="PQ130" s="92"/>
      <c r="PR130" s="92"/>
      <c r="PS130" s="92"/>
      <c r="PT130" s="92"/>
      <c r="PU130" s="92"/>
      <c r="PV130" s="92"/>
      <c r="PW130" s="92"/>
      <c r="PX130" s="92"/>
      <c r="PY130" s="92"/>
      <c r="PZ130" s="92"/>
      <c r="QA130" s="92"/>
      <c r="QB130" s="92"/>
      <c r="QC130" s="92"/>
      <c r="QD130" s="92"/>
      <c r="QE130" s="92"/>
      <c r="QF130" s="92"/>
      <c r="QG130" s="92"/>
      <c r="QH130" s="92"/>
      <c r="QI130" s="92"/>
      <c r="QJ130" s="92"/>
      <c r="QK130" s="92"/>
      <c r="QL130" s="92"/>
      <c r="QM130" s="92"/>
      <c r="QN130" s="92"/>
      <c r="QO130" s="92"/>
      <c r="QP130" s="92"/>
      <c r="QQ130" s="92"/>
      <c r="QR130" s="92"/>
      <c r="QS130" s="92"/>
      <c r="QT130" s="92"/>
      <c r="QU130" s="92"/>
      <c r="QV130" s="92"/>
      <c r="QW130" s="92"/>
      <c r="QX130" s="92"/>
      <c r="QY130" s="92"/>
      <c r="QZ130" s="92"/>
      <c r="RA130" s="92"/>
      <c r="RB130" s="92"/>
      <c r="RC130" s="92"/>
      <c r="RD130" s="92"/>
      <c r="RE130" s="92"/>
      <c r="RF130" s="92"/>
      <c r="RG130" s="92"/>
      <c r="RH130" s="92"/>
      <c r="RI130" s="92"/>
      <c r="RJ130" s="92"/>
      <c r="RK130" s="92"/>
      <c r="RL130" s="92"/>
      <c r="RM130" s="92"/>
      <c r="RN130" s="92"/>
      <c r="RO130" s="92"/>
      <c r="RP130" s="92"/>
      <c r="RQ130" s="92"/>
      <c r="RR130" s="92"/>
      <c r="RS130" s="92"/>
      <c r="RT130" s="92"/>
      <c r="RU130" s="92"/>
      <c r="RV130" s="92"/>
      <c r="RW130" s="92"/>
      <c r="RX130" s="92"/>
      <c r="RY130" s="92"/>
      <c r="RZ130" s="92"/>
      <c r="SA130" s="92"/>
      <c r="SB130" s="92"/>
      <c r="SC130" s="92"/>
      <c r="SD130" s="92"/>
      <c r="SE130" s="92"/>
      <c r="SF130" s="92"/>
      <c r="SG130" s="92"/>
      <c r="SH130" s="92"/>
      <c r="SI130" s="92"/>
      <c r="SJ130" s="92"/>
      <c r="SK130" s="92"/>
      <c r="SL130" s="92"/>
      <c r="SM130" s="92"/>
      <c r="SN130" s="92"/>
      <c r="SO130" s="92"/>
      <c r="SP130" s="92"/>
      <c r="SQ130" s="92"/>
      <c r="SR130" s="92"/>
      <c r="SS130" s="92"/>
      <c r="ST130" s="92"/>
      <c r="SU130" s="92"/>
      <c r="SV130" s="92"/>
      <c r="SW130" s="92"/>
      <c r="SX130" s="92"/>
      <c r="SY130" s="92"/>
      <c r="SZ130" s="92"/>
      <c r="TA130" s="92"/>
      <c r="TB130" s="92"/>
      <c r="TC130" s="92"/>
      <c r="TD130" s="92"/>
      <c r="TE130" s="92"/>
      <c r="TF130" s="92"/>
      <c r="TG130" s="92"/>
      <c r="TH130" s="92"/>
      <c r="TI130" s="92"/>
      <c r="TJ130" s="92"/>
      <c r="TK130" s="92"/>
      <c r="TL130" s="92"/>
      <c r="TM130" s="92"/>
      <c r="TN130" s="92"/>
      <c r="TO130" s="92"/>
      <c r="TP130" s="92"/>
      <c r="TQ130" s="92"/>
      <c r="TR130" s="92"/>
      <c r="TS130" s="92"/>
      <c r="TT130" s="92"/>
      <c r="TU130" s="92"/>
      <c r="TV130" s="92"/>
      <c r="TW130" s="92"/>
      <c r="TX130" s="92"/>
      <c r="TY130" s="92"/>
      <c r="TZ130" s="92"/>
      <c r="UA130" s="92"/>
      <c r="UB130" s="92"/>
      <c r="UC130" s="92"/>
      <c r="UD130" s="92"/>
      <c r="UE130" s="92"/>
      <c r="UF130" s="92"/>
      <c r="UG130" s="92"/>
      <c r="UH130" s="92"/>
      <c r="UI130" s="92"/>
      <c r="UJ130" s="92"/>
      <c r="UK130" s="92"/>
      <c r="UL130" s="92"/>
      <c r="UM130" s="92"/>
      <c r="UN130" s="92"/>
      <c r="UO130" s="92"/>
      <c r="UP130" s="92"/>
      <c r="UQ130" s="92"/>
      <c r="UR130" s="92"/>
      <c r="US130" s="92"/>
      <c r="UT130" s="92"/>
      <c r="UU130" s="92"/>
      <c r="UV130" s="92"/>
      <c r="UW130" s="92"/>
      <c r="UX130" s="92"/>
      <c r="UY130" s="92"/>
      <c r="UZ130" s="92"/>
      <c r="VA130" s="92"/>
      <c r="VB130" s="92"/>
      <c r="VC130" s="92"/>
      <c r="VD130" s="92"/>
      <c r="VE130" s="92"/>
      <c r="VF130" s="92"/>
      <c r="VG130" s="92"/>
      <c r="VH130" s="92"/>
      <c r="VI130" s="92"/>
      <c r="VJ130" s="92"/>
      <c r="VK130" s="92"/>
      <c r="VL130" s="92"/>
      <c r="VM130" s="92"/>
      <c r="VN130" s="92"/>
      <c r="VO130" s="92"/>
      <c r="VP130" s="92"/>
      <c r="VQ130" s="92"/>
      <c r="VR130" s="92"/>
      <c r="VS130" s="92"/>
      <c r="VT130" s="92"/>
      <c r="VU130" s="92"/>
      <c r="VV130" s="92"/>
      <c r="VW130" s="92"/>
      <c r="VX130" s="92"/>
      <c r="VY130" s="92"/>
      <c r="VZ130" s="92"/>
      <c r="WA130" s="92"/>
      <c r="WB130" s="92"/>
      <c r="WC130" s="92"/>
      <c r="WD130" s="92"/>
      <c r="WE130" s="92"/>
      <c r="WF130" s="92"/>
      <c r="WG130" s="92"/>
      <c r="WH130" s="92"/>
      <c r="WI130" s="92"/>
      <c r="WJ130" s="92"/>
      <c r="WK130" s="92"/>
      <c r="WL130" s="92"/>
      <c r="WM130" s="92"/>
      <c r="WN130" s="92"/>
      <c r="WO130" s="92"/>
      <c r="WP130" s="92"/>
      <c r="WQ130" s="92"/>
      <c r="WR130" s="92"/>
      <c r="WS130" s="92"/>
      <c r="WT130" s="92"/>
      <c r="WU130" s="92"/>
      <c r="WV130" s="92"/>
      <c r="WW130" s="92"/>
      <c r="WX130" s="92"/>
      <c r="WY130" s="92"/>
      <c r="WZ130" s="92"/>
      <c r="XA130" s="92"/>
      <c r="XB130" s="92"/>
      <c r="XC130" s="92"/>
      <c r="XD130" s="92"/>
      <c r="XE130" s="92"/>
      <c r="XF130" s="92"/>
      <c r="XG130" s="92"/>
      <c r="XH130" s="92"/>
      <c r="XI130" s="92"/>
      <c r="XJ130" s="92"/>
      <c r="XK130" s="92"/>
      <c r="XL130" s="92"/>
      <c r="XM130" s="92"/>
      <c r="XN130" s="92"/>
      <c r="XO130" s="92"/>
      <c r="XP130" s="92"/>
      <c r="XQ130" s="92"/>
      <c r="XR130" s="92"/>
      <c r="XS130" s="92"/>
      <c r="XT130" s="92"/>
      <c r="XU130" s="92"/>
      <c r="XV130" s="92"/>
      <c r="XW130" s="92"/>
      <c r="XX130" s="92"/>
      <c r="XY130" s="92"/>
      <c r="XZ130" s="92"/>
      <c r="YA130" s="92"/>
      <c r="YB130" s="92"/>
      <c r="YC130" s="92"/>
      <c r="YD130" s="92"/>
      <c r="YE130" s="92"/>
      <c r="YF130" s="92"/>
      <c r="YG130" s="92"/>
      <c r="YH130" s="92"/>
      <c r="YI130" s="92"/>
      <c r="YJ130" s="92"/>
      <c r="YK130" s="92"/>
      <c r="YL130" s="92"/>
      <c r="YM130" s="92"/>
      <c r="YN130" s="92"/>
      <c r="YO130" s="92"/>
      <c r="YP130" s="92"/>
      <c r="YQ130" s="92"/>
      <c r="YR130" s="92"/>
      <c r="YS130" s="92"/>
      <c r="YT130" s="92"/>
      <c r="YU130" s="92"/>
      <c r="YV130" s="92"/>
      <c r="YW130" s="92"/>
      <c r="YX130" s="92"/>
      <c r="YY130" s="92"/>
      <c r="YZ130" s="92"/>
      <c r="ZA130" s="92"/>
      <c r="ZB130" s="92"/>
      <c r="ZC130" s="92"/>
      <c r="ZD130" s="92"/>
      <c r="ZE130" s="92"/>
      <c r="ZF130" s="92"/>
      <c r="ZG130" s="92"/>
      <c r="ZH130" s="92"/>
      <c r="ZI130" s="92"/>
      <c r="ZJ130" s="92"/>
      <c r="ZK130" s="92"/>
      <c r="ZL130" s="92"/>
      <c r="ZM130" s="92"/>
      <c r="ZN130" s="92"/>
      <c r="ZO130" s="92"/>
      <c r="ZP130" s="92"/>
      <c r="ZQ130" s="92"/>
      <c r="ZR130" s="92"/>
      <c r="ZS130" s="92"/>
      <c r="ZT130" s="92"/>
      <c r="ZU130" s="92"/>
      <c r="ZV130" s="92"/>
      <c r="ZW130" s="92"/>
      <c r="ZX130" s="92"/>
      <c r="ZY130" s="92"/>
      <c r="ZZ130" s="92"/>
      <c r="AAA130" s="92"/>
      <c r="AAB130" s="92"/>
      <c r="AAC130" s="92"/>
      <c r="AAD130" s="92"/>
      <c r="AAE130" s="92"/>
      <c r="AAF130" s="92"/>
      <c r="AAG130" s="92"/>
      <c r="AAH130" s="92"/>
      <c r="AAI130" s="92"/>
      <c r="AAJ130" s="92"/>
      <c r="AAK130" s="92"/>
      <c r="AAL130" s="92"/>
      <c r="AAM130" s="92"/>
      <c r="AAN130" s="92"/>
      <c r="AAO130" s="92"/>
      <c r="AAP130" s="92"/>
      <c r="AAQ130" s="92"/>
      <c r="AAR130" s="92"/>
      <c r="AAS130" s="92"/>
      <c r="AAT130" s="92"/>
      <c r="AAU130" s="92"/>
      <c r="AAV130" s="92"/>
      <c r="AAW130" s="92"/>
      <c r="AAX130" s="92"/>
      <c r="AAY130" s="92"/>
      <c r="AAZ130" s="92"/>
      <c r="ABA130" s="92"/>
      <c r="ABB130" s="92"/>
      <c r="ABC130" s="92"/>
      <c r="ABD130" s="92"/>
      <c r="ABE130" s="92"/>
      <c r="ABF130" s="92"/>
      <c r="ABG130" s="92"/>
      <c r="ABH130" s="92"/>
      <c r="ABI130" s="92"/>
      <c r="ABJ130" s="92"/>
      <c r="ABK130" s="92"/>
      <c r="ABL130" s="92"/>
      <c r="ABM130" s="92"/>
      <c r="ABN130" s="92"/>
      <c r="ABO130" s="92"/>
      <c r="ABP130" s="92"/>
      <c r="ABQ130" s="92"/>
      <c r="ABR130" s="92"/>
      <c r="ABS130" s="92"/>
      <c r="ABT130" s="92"/>
      <c r="ABU130" s="92"/>
      <c r="ABV130" s="92"/>
      <c r="ABW130" s="92"/>
      <c r="ABX130" s="92"/>
      <c r="ABY130" s="92"/>
      <c r="ABZ130" s="92"/>
      <c r="ACA130" s="92"/>
      <c r="ACB130" s="92"/>
      <c r="ACC130" s="92"/>
      <c r="ACD130" s="92"/>
      <c r="ACE130" s="92"/>
      <c r="ACF130" s="92"/>
      <c r="ACG130" s="92"/>
      <c r="ACH130" s="92"/>
      <c r="ACI130" s="92"/>
      <c r="ACJ130" s="92"/>
      <c r="ACK130" s="92"/>
      <c r="ACL130" s="92"/>
      <c r="ACM130" s="92"/>
      <c r="ACN130" s="92"/>
      <c r="ACO130" s="92"/>
      <c r="ACP130" s="92"/>
      <c r="ACQ130" s="92"/>
      <c r="ACR130" s="92"/>
      <c r="ACS130" s="92"/>
      <c r="ACT130" s="92"/>
      <c r="ACU130" s="92"/>
      <c r="ACV130" s="92"/>
      <c r="ACW130" s="92"/>
      <c r="ACX130" s="92"/>
      <c r="ACY130" s="92"/>
      <c r="ACZ130" s="92"/>
      <c r="ADA130" s="92"/>
      <c r="ADB130" s="92"/>
      <c r="ADC130" s="92"/>
      <c r="ADD130" s="92"/>
      <c r="ADE130" s="92"/>
      <c r="ADF130" s="92"/>
      <c r="ADG130" s="92"/>
      <c r="ADH130" s="92"/>
      <c r="ADI130" s="92"/>
      <c r="ADJ130" s="92"/>
      <c r="ADK130" s="92"/>
      <c r="ADL130" s="92"/>
      <c r="ADM130" s="92"/>
      <c r="ADN130" s="92"/>
      <c r="ADO130" s="92"/>
      <c r="ADP130" s="92"/>
      <c r="ADQ130" s="92"/>
      <c r="ADR130" s="92"/>
      <c r="ADS130" s="92"/>
      <c r="ADT130" s="92"/>
      <c r="ADU130" s="92"/>
      <c r="ADV130" s="92"/>
      <c r="ADW130" s="92"/>
      <c r="ADX130" s="92"/>
      <c r="ADY130" s="92"/>
      <c r="ADZ130" s="92"/>
      <c r="AEA130" s="92"/>
      <c r="AEB130" s="92"/>
      <c r="AEC130" s="92"/>
      <c r="AED130" s="92"/>
      <c r="AEE130" s="92"/>
      <c r="AEF130" s="92"/>
      <c r="AEG130" s="92"/>
      <c r="AEH130" s="92"/>
      <c r="AEI130" s="92"/>
      <c r="AEJ130" s="92"/>
      <c r="AEK130" s="92"/>
      <c r="AEL130" s="92"/>
      <c r="AEM130" s="92"/>
      <c r="AEN130" s="92"/>
      <c r="AEO130" s="92"/>
      <c r="AEP130" s="92"/>
      <c r="AEQ130" s="92"/>
      <c r="AER130" s="92"/>
      <c r="AES130" s="92"/>
      <c r="AET130" s="92"/>
      <c r="AEU130" s="92"/>
      <c r="AEV130" s="92"/>
      <c r="AEW130" s="92"/>
      <c r="AEX130" s="92"/>
      <c r="AEY130" s="92"/>
      <c r="AEZ130" s="92"/>
      <c r="AFA130" s="92"/>
      <c r="AFB130" s="92"/>
      <c r="AFC130" s="92"/>
      <c r="AFD130" s="92"/>
      <c r="AFE130" s="92"/>
      <c r="AFF130" s="92"/>
      <c r="AFG130" s="92"/>
      <c r="AFH130" s="92"/>
      <c r="AFI130" s="92"/>
      <c r="AFJ130" s="92"/>
      <c r="AFK130" s="92"/>
      <c r="AFL130" s="92"/>
      <c r="AFM130" s="92"/>
      <c r="AFN130" s="92"/>
      <c r="AFO130" s="92"/>
      <c r="AFP130" s="92"/>
      <c r="AFQ130" s="92"/>
      <c r="AFR130" s="92"/>
      <c r="AFS130" s="92"/>
      <c r="AFT130" s="92"/>
      <c r="AFU130" s="92"/>
      <c r="AFV130" s="92"/>
      <c r="AFW130" s="92"/>
      <c r="AFX130" s="92"/>
      <c r="AFY130" s="92"/>
      <c r="AFZ130" s="92"/>
      <c r="AGA130" s="92"/>
      <c r="AGB130" s="92"/>
      <c r="AGC130" s="92"/>
      <c r="AGD130" s="92"/>
      <c r="AGE130" s="92"/>
      <c r="AGF130" s="92"/>
      <c r="AGG130" s="92"/>
      <c r="AGH130" s="92"/>
      <c r="AGI130" s="92"/>
      <c r="AGJ130" s="92"/>
      <c r="AGK130" s="92"/>
      <c r="AGL130" s="92"/>
      <c r="AGM130" s="92"/>
      <c r="AGN130" s="92"/>
      <c r="AGO130" s="92"/>
      <c r="AGP130" s="92"/>
      <c r="AGQ130" s="92"/>
      <c r="AGR130" s="92"/>
      <c r="AGS130" s="92"/>
      <c r="AGT130" s="92"/>
      <c r="AGU130" s="92"/>
      <c r="AGV130" s="92"/>
      <c r="AGW130" s="92"/>
      <c r="AGX130" s="92"/>
      <c r="AGY130" s="92"/>
      <c r="AGZ130" s="92"/>
      <c r="AHA130" s="92"/>
      <c r="AHB130" s="92"/>
      <c r="AHC130" s="92"/>
      <c r="AHD130" s="92"/>
      <c r="AHE130" s="92"/>
      <c r="AHF130" s="92"/>
      <c r="AHG130" s="92"/>
      <c r="AHH130" s="92"/>
      <c r="AHI130" s="92"/>
      <c r="AHJ130" s="92"/>
      <c r="AHK130" s="92"/>
      <c r="AHL130" s="92"/>
      <c r="AHM130" s="92"/>
      <c r="AHN130" s="92"/>
      <c r="AHO130" s="92"/>
      <c r="AHP130" s="92"/>
      <c r="AHQ130" s="92"/>
      <c r="AHR130" s="92"/>
      <c r="AHS130" s="92"/>
      <c r="AHT130" s="92"/>
      <c r="AHU130" s="92"/>
      <c r="AHV130" s="92"/>
      <c r="AHW130" s="92"/>
      <c r="AHX130" s="92"/>
      <c r="AHY130" s="92"/>
      <c r="AHZ130" s="92"/>
      <c r="AIA130" s="92"/>
      <c r="AIB130" s="92"/>
      <c r="AIC130" s="92"/>
      <c r="AID130" s="92"/>
      <c r="AIE130" s="92"/>
      <c r="AIF130" s="92"/>
      <c r="AIG130" s="92"/>
      <c r="AIH130" s="92"/>
      <c r="AII130" s="92"/>
      <c r="AIJ130" s="92"/>
      <c r="AIK130" s="92"/>
      <c r="AIL130" s="92"/>
      <c r="AIM130" s="92"/>
      <c r="AIN130" s="92"/>
      <c r="AIO130" s="92"/>
      <c r="AIP130" s="92"/>
      <c r="AIQ130" s="92"/>
      <c r="AIR130" s="92"/>
      <c r="AIS130" s="92"/>
      <c r="AIT130" s="92"/>
      <c r="AIU130" s="92"/>
      <c r="AIV130" s="92"/>
      <c r="AIW130" s="92"/>
      <c r="AIX130" s="92"/>
      <c r="AIY130" s="92"/>
      <c r="AIZ130" s="92"/>
      <c r="AJA130" s="92"/>
      <c r="AJB130" s="92"/>
      <c r="AJC130" s="92"/>
      <c r="AJD130" s="92"/>
      <c r="AJE130" s="92"/>
      <c r="AJF130" s="92"/>
      <c r="AJG130" s="92"/>
      <c r="AJH130" s="92"/>
      <c r="AJI130" s="92"/>
      <c r="AJJ130" s="92"/>
      <c r="AJK130" s="92"/>
      <c r="AJL130" s="92"/>
      <c r="AJM130" s="92"/>
      <c r="AJN130" s="92"/>
      <c r="AJO130" s="92"/>
      <c r="AJP130" s="92"/>
      <c r="AJQ130" s="92"/>
      <c r="AJR130" s="92"/>
      <c r="AJS130" s="92"/>
      <c r="AJT130" s="92"/>
      <c r="AJU130" s="92"/>
      <c r="AJV130" s="92"/>
      <c r="AJW130" s="92"/>
      <c r="AJX130" s="92"/>
      <c r="AJY130" s="92"/>
      <c r="AJZ130" s="92"/>
      <c r="AKA130" s="92"/>
      <c r="AKB130" s="92"/>
      <c r="AKC130" s="92"/>
      <c r="AKD130" s="92"/>
      <c r="AKE130" s="92"/>
      <c r="AKF130" s="92"/>
      <c r="AKG130" s="92"/>
      <c r="AKH130" s="92"/>
      <c r="AKI130" s="92"/>
      <c r="AKJ130" s="92"/>
      <c r="AKK130" s="92"/>
      <c r="AKL130" s="92"/>
      <c r="AKM130" s="92"/>
      <c r="AKN130" s="92"/>
      <c r="AKO130" s="92"/>
      <c r="AKP130" s="92"/>
      <c r="AKQ130" s="92"/>
      <c r="AKR130" s="92"/>
      <c r="AKS130" s="92"/>
      <c r="AKT130" s="92"/>
      <c r="AKU130" s="92"/>
      <c r="AKV130" s="92"/>
      <c r="AKW130" s="92"/>
      <c r="AKX130" s="92"/>
      <c r="AKY130" s="92"/>
      <c r="AKZ130" s="92"/>
      <c r="ALA130" s="92"/>
      <c r="ALB130" s="92"/>
      <c r="ALC130" s="92"/>
      <c r="ALD130" s="92"/>
      <c r="ALE130" s="92"/>
      <c r="ALF130" s="92"/>
      <c r="ALG130" s="92"/>
      <c r="ALH130" s="92"/>
      <c r="ALI130" s="92"/>
      <c r="ALJ130" s="92"/>
      <c r="ALK130" s="92"/>
      <c r="ALL130" s="92"/>
      <c r="ALM130" s="92"/>
      <c r="ALN130" s="92"/>
      <c r="ALO130" s="92"/>
      <c r="ALP130" s="92"/>
      <c r="ALQ130" s="92"/>
      <c r="ALR130" s="92"/>
      <c r="ALS130" s="92"/>
      <c r="ALT130" s="92"/>
      <c r="ALU130" s="92"/>
      <c r="ALV130" s="92"/>
      <c r="ALW130" s="92"/>
      <c r="ALX130" s="92"/>
      <c r="ALY130" s="92"/>
      <c r="ALZ130" s="92"/>
      <c r="AMA130" s="92"/>
      <c r="AMB130" s="92"/>
      <c r="AMC130" s="92"/>
      <c r="AMD130" s="92"/>
      <c r="AME130" s="92"/>
      <c r="AMF130" s="92"/>
      <c r="AMG130" s="92"/>
      <c r="AMH130" s="92"/>
      <c r="AMI130" s="92"/>
      <c r="AMJ130" s="92"/>
      <c r="AMK130" s="92"/>
      <c r="AML130" s="92"/>
      <c r="AMM130" s="92"/>
      <c r="AMN130" s="92"/>
      <c r="AMO130" s="92"/>
      <c r="AMP130" s="92"/>
      <c r="AMQ130" s="92"/>
      <c r="AMR130" s="92"/>
      <c r="AMS130" s="92"/>
      <c r="AMT130" s="92"/>
      <c r="AMU130" s="92"/>
      <c r="AMV130" s="92"/>
      <c r="AMW130" s="92"/>
      <c r="AMX130" s="92"/>
    </row>
    <row r="131" spans="1:1038" ht="14.65" customHeight="1" x14ac:dyDescent="0.4">
      <c r="A131" s="16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115"/>
      <c r="M131" s="115"/>
      <c r="N131" s="41"/>
      <c r="O131" s="41"/>
      <c r="P131" s="41"/>
      <c r="Q131" s="41"/>
      <c r="R131" s="41"/>
      <c r="S131" s="41"/>
      <c r="T131" s="41"/>
      <c r="U131" s="41"/>
      <c r="V131" s="92"/>
      <c r="W131" s="92"/>
      <c r="X131" s="92"/>
      <c r="Y131" s="92"/>
      <c r="Z131" s="92"/>
      <c r="AA131" s="92"/>
      <c r="AB131" s="92"/>
      <c r="AC131" s="92"/>
      <c r="AD131" s="92"/>
      <c r="AE131" s="92"/>
      <c r="AF131" s="92"/>
      <c r="AG131" s="92"/>
      <c r="AH131" s="92"/>
      <c r="AI131" s="92"/>
      <c r="AJ131" s="92"/>
      <c r="AK131" s="92"/>
      <c r="AL131" s="92"/>
      <c r="AM131" s="92"/>
      <c r="AN131" s="92"/>
      <c r="AO131" s="92"/>
      <c r="AP131" s="92"/>
      <c r="AQ131" s="92"/>
      <c r="AR131" s="92"/>
      <c r="AS131" s="92"/>
      <c r="AT131" s="92"/>
      <c r="AU131" s="92"/>
      <c r="AV131" s="92"/>
      <c r="AW131" s="92"/>
      <c r="AX131" s="92"/>
      <c r="AY131" s="92"/>
      <c r="AZ131" s="92"/>
      <c r="BA131" s="92"/>
      <c r="BB131" s="92"/>
      <c r="BC131" s="92"/>
      <c r="BD131" s="92"/>
      <c r="BE131" s="92"/>
      <c r="BF131" s="92"/>
      <c r="BG131" s="92"/>
      <c r="BH131" s="92"/>
      <c r="BI131" s="92"/>
      <c r="BJ131" s="92"/>
      <c r="BK131" s="92"/>
      <c r="BL131" s="92"/>
      <c r="BM131" s="92"/>
      <c r="BN131" s="92"/>
      <c r="BO131" s="92"/>
      <c r="BP131" s="92"/>
      <c r="BQ131" s="92"/>
      <c r="BR131" s="92"/>
      <c r="BS131" s="92"/>
      <c r="BT131" s="92"/>
      <c r="BU131" s="92"/>
      <c r="BV131" s="92"/>
      <c r="BW131" s="92"/>
      <c r="BX131" s="92"/>
      <c r="BY131" s="92"/>
      <c r="BZ131" s="92"/>
      <c r="CA131" s="92"/>
      <c r="CB131" s="92"/>
      <c r="CC131" s="92"/>
      <c r="CD131" s="92"/>
      <c r="CE131" s="92"/>
      <c r="CF131" s="92"/>
      <c r="CG131" s="92"/>
      <c r="CH131" s="92"/>
      <c r="CI131" s="92"/>
      <c r="CJ131" s="92"/>
      <c r="CK131" s="92"/>
      <c r="CL131" s="92"/>
      <c r="CM131" s="92"/>
      <c r="CN131" s="92"/>
      <c r="CO131" s="92"/>
      <c r="CP131" s="92"/>
      <c r="CQ131" s="92"/>
      <c r="CR131" s="92"/>
      <c r="CS131" s="92"/>
      <c r="CT131" s="92"/>
      <c r="CU131" s="92"/>
      <c r="CV131" s="92"/>
      <c r="CW131" s="92"/>
      <c r="CX131" s="92"/>
      <c r="CY131" s="92"/>
      <c r="CZ131" s="92"/>
      <c r="DA131" s="92"/>
      <c r="DB131" s="92"/>
      <c r="DC131" s="92"/>
      <c r="DD131" s="92"/>
      <c r="DE131" s="92"/>
      <c r="DF131" s="92"/>
      <c r="DG131" s="92"/>
      <c r="DH131" s="92"/>
      <c r="DI131" s="92"/>
      <c r="DJ131" s="92"/>
      <c r="DK131" s="92"/>
      <c r="DL131" s="92"/>
      <c r="DM131" s="92"/>
      <c r="DN131" s="92"/>
      <c r="DO131" s="92"/>
      <c r="DP131" s="92"/>
      <c r="DQ131" s="92"/>
      <c r="DR131" s="92"/>
      <c r="DS131" s="92"/>
      <c r="DT131" s="92"/>
      <c r="DU131" s="92"/>
      <c r="DV131" s="92"/>
      <c r="DW131" s="92"/>
      <c r="DX131" s="92"/>
      <c r="DY131" s="92"/>
      <c r="DZ131" s="92"/>
      <c r="EA131" s="92"/>
      <c r="EB131" s="92"/>
      <c r="EC131" s="92"/>
      <c r="ED131" s="92"/>
      <c r="EE131" s="92"/>
      <c r="EF131" s="92"/>
      <c r="EG131" s="92"/>
      <c r="EH131" s="92"/>
      <c r="EI131" s="92"/>
      <c r="EJ131" s="92"/>
      <c r="EK131" s="92"/>
      <c r="EL131" s="92"/>
      <c r="EM131" s="92"/>
      <c r="EN131" s="92"/>
      <c r="EO131" s="92"/>
      <c r="EP131" s="92"/>
      <c r="EQ131" s="92"/>
      <c r="ER131" s="92"/>
      <c r="ES131" s="92"/>
      <c r="ET131" s="92"/>
      <c r="EU131" s="92"/>
      <c r="EV131" s="92"/>
      <c r="EW131" s="92"/>
      <c r="EX131" s="92"/>
      <c r="EY131" s="92"/>
      <c r="EZ131" s="92"/>
      <c r="FA131" s="92"/>
      <c r="FB131" s="92"/>
      <c r="FC131" s="92"/>
      <c r="FD131" s="92"/>
      <c r="FE131" s="92"/>
      <c r="FF131" s="92"/>
      <c r="FG131" s="92"/>
      <c r="FH131" s="92"/>
      <c r="FI131" s="92"/>
      <c r="FJ131" s="92"/>
      <c r="FK131" s="92"/>
      <c r="FL131" s="92"/>
      <c r="FM131" s="92"/>
      <c r="FN131" s="92"/>
      <c r="FO131" s="92"/>
      <c r="FP131" s="92"/>
      <c r="FQ131" s="92"/>
      <c r="FR131" s="92"/>
      <c r="FS131" s="92"/>
      <c r="FT131" s="92"/>
      <c r="FU131" s="92"/>
      <c r="FV131" s="92"/>
      <c r="FW131" s="92"/>
      <c r="FX131" s="92"/>
      <c r="FY131" s="92"/>
      <c r="FZ131" s="92"/>
      <c r="GA131" s="92"/>
      <c r="GB131" s="92"/>
      <c r="GC131" s="92"/>
      <c r="GD131" s="92"/>
      <c r="GE131" s="92"/>
      <c r="GF131" s="92"/>
      <c r="GG131" s="92"/>
      <c r="GH131" s="92"/>
      <c r="GI131" s="92"/>
      <c r="GJ131" s="92"/>
      <c r="GK131" s="92"/>
      <c r="GL131" s="92"/>
      <c r="GM131" s="92"/>
      <c r="GN131" s="92"/>
      <c r="GO131" s="92"/>
      <c r="GP131" s="92"/>
      <c r="GQ131" s="92"/>
      <c r="GR131" s="92"/>
      <c r="GS131" s="92"/>
      <c r="GT131" s="92"/>
      <c r="GU131" s="92"/>
      <c r="GV131" s="92"/>
      <c r="GW131" s="92"/>
      <c r="GX131" s="92"/>
      <c r="GY131" s="92"/>
      <c r="GZ131" s="92"/>
      <c r="HA131" s="92"/>
      <c r="HB131" s="92"/>
      <c r="HC131" s="92"/>
      <c r="HD131" s="92"/>
      <c r="HE131" s="92"/>
      <c r="HF131" s="92"/>
      <c r="HG131" s="92"/>
      <c r="HH131" s="92"/>
      <c r="HI131" s="92"/>
      <c r="HJ131" s="92"/>
      <c r="HK131" s="92"/>
      <c r="HL131" s="92"/>
      <c r="HM131" s="92"/>
      <c r="HN131" s="92"/>
      <c r="HO131" s="92"/>
      <c r="HP131" s="92"/>
      <c r="HQ131" s="92"/>
      <c r="HR131" s="92"/>
      <c r="HS131" s="92"/>
      <c r="HT131" s="92"/>
      <c r="HU131" s="92"/>
      <c r="HV131" s="92"/>
      <c r="HW131" s="92"/>
      <c r="HX131" s="92"/>
      <c r="HY131" s="92"/>
      <c r="HZ131" s="92"/>
      <c r="IA131" s="92"/>
      <c r="IB131" s="92"/>
      <c r="IC131" s="92"/>
      <c r="ID131" s="92"/>
      <c r="IE131" s="92"/>
      <c r="IF131" s="92"/>
      <c r="IG131" s="92"/>
      <c r="IH131" s="92"/>
      <c r="II131" s="92"/>
      <c r="IJ131" s="92"/>
      <c r="IK131" s="92"/>
      <c r="IL131" s="92"/>
      <c r="IM131" s="92"/>
      <c r="IN131" s="92"/>
      <c r="IO131" s="92"/>
      <c r="IP131" s="92"/>
      <c r="IQ131" s="92"/>
      <c r="IR131" s="92"/>
      <c r="IS131" s="92"/>
      <c r="IT131" s="92"/>
      <c r="IU131" s="92"/>
      <c r="IV131" s="92"/>
      <c r="IW131" s="92"/>
      <c r="IX131" s="92"/>
      <c r="IY131" s="92"/>
      <c r="IZ131" s="92"/>
      <c r="JA131" s="92"/>
      <c r="JB131" s="92"/>
      <c r="JC131" s="92"/>
      <c r="JD131" s="92"/>
      <c r="JE131" s="92"/>
      <c r="JF131" s="92"/>
      <c r="JG131" s="92"/>
      <c r="JH131" s="92"/>
      <c r="JI131" s="92"/>
      <c r="JJ131" s="92"/>
      <c r="JK131" s="92"/>
      <c r="JL131" s="92"/>
      <c r="JM131" s="92"/>
      <c r="JN131" s="92"/>
      <c r="JO131" s="92"/>
      <c r="JP131" s="92"/>
      <c r="JQ131" s="92"/>
      <c r="JR131" s="92"/>
      <c r="JS131" s="92"/>
      <c r="JT131" s="92"/>
      <c r="JU131" s="92"/>
      <c r="JV131" s="92"/>
      <c r="JW131" s="92"/>
      <c r="JX131" s="92"/>
      <c r="JY131" s="92"/>
      <c r="JZ131" s="92"/>
      <c r="KA131" s="92"/>
      <c r="KB131" s="92"/>
      <c r="KC131" s="92"/>
      <c r="KD131" s="92"/>
      <c r="KE131" s="92"/>
      <c r="KF131" s="92"/>
      <c r="KG131" s="92"/>
      <c r="KH131" s="92"/>
      <c r="KI131" s="92"/>
      <c r="KJ131" s="92"/>
      <c r="KK131" s="92"/>
      <c r="KL131" s="92"/>
      <c r="KM131" s="92"/>
      <c r="KN131" s="92"/>
      <c r="KO131" s="92"/>
      <c r="KP131" s="92"/>
      <c r="KQ131" s="92"/>
      <c r="KR131" s="92"/>
      <c r="KS131" s="92"/>
      <c r="KT131" s="92"/>
      <c r="KU131" s="92"/>
      <c r="KV131" s="92"/>
      <c r="KW131" s="92"/>
      <c r="KX131" s="92"/>
      <c r="KY131" s="92"/>
      <c r="KZ131" s="92"/>
      <c r="LA131" s="92"/>
      <c r="LB131" s="92"/>
      <c r="LC131" s="92"/>
      <c r="LD131" s="92"/>
      <c r="LE131" s="92"/>
      <c r="LF131" s="92"/>
      <c r="LG131" s="92"/>
      <c r="LH131" s="92"/>
      <c r="LI131" s="92"/>
      <c r="LJ131" s="92"/>
      <c r="LK131" s="92"/>
      <c r="LL131" s="92"/>
      <c r="LM131" s="92"/>
      <c r="LN131" s="92"/>
      <c r="LO131" s="92"/>
      <c r="LP131" s="92"/>
      <c r="LQ131" s="92"/>
      <c r="LR131" s="92"/>
      <c r="LS131" s="92"/>
      <c r="LT131" s="92"/>
      <c r="LU131" s="92"/>
      <c r="LV131" s="92"/>
      <c r="LW131" s="92"/>
      <c r="LX131" s="92"/>
      <c r="LY131" s="92"/>
      <c r="LZ131" s="92"/>
      <c r="MA131" s="92"/>
      <c r="MB131" s="92"/>
      <c r="MC131" s="92"/>
      <c r="MD131" s="92"/>
      <c r="ME131" s="92"/>
      <c r="MF131" s="92"/>
      <c r="MG131" s="92"/>
      <c r="MH131" s="92"/>
      <c r="MI131" s="92"/>
      <c r="MJ131" s="92"/>
      <c r="MK131" s="92"/>
      <c r="ML131" s="92"/>
      <c r="MM131" s="92"/>
      <c r="MN131" s="92"/>
      <c r="MO131" s="92"/>
      <c r="MP131" s="92"/>
      <c r="MQ131" s="92"/>
      <c r="MR131" s="92"/>
      <c r="MS131" s="92"/>
      <c r="MT131" s="92"/>
      <c r="MU131" s="92"/>
      <c r="MV131" s="92"/>
      <c r="MW131" s="92"/>
      <c r="MX131" s="92"/>
      <c r="MY131" s="92"/>
      <c r="MZ131" s="92"/>
      <c r="NA131" s="92"/>
      <c r="NB131" s="92"/>
      <c r="NC131" s="92"/>
      <c r="ND131" s="92"/>
      <c r="NE131" s="92"/>
      <c r="NF131" s="92"/>
      <c r="NG131" s="92"/>
      <c r="NH131" s="92"/>
      <c r="NI131" s="92"/>
      <c r="NJ131" s="92"/>
      <c r="NK131" s="92"/>
      <c r="NL131" s="92"/>
      <c r="NM131" s="92"/>
      <c r="NN131" s="92"/>
      <c r="NO131" s="92"/>
      <c r="NP131" s="92"/>
      <c r="NQ131" s="92"/>
      <c r="NR131" s="92"/>
      <c r="NS131" s="92"/>
      <c r="NT131" s="92"/>
      <c r="NU131" s="92"/>
      <c r="NV131" s="92"/>
      <c r="NW131" s="92"/>
      <c r="NX131" s="92"/>
      <c r="NY131" s="92"/>
      <c r="NZ131" s="92"/>
      <c r="OA131" s="92"/>
      <c r="OB131" s="92"/>
      <c r="OC131" s="92"/>
      <c r="OD131" s="92"/>
      <c r="OE131" s="92"/>
      <c r="OF131" s="92"/>
      <c r="OG131" s="92"/>
      <c r="OH131" s="92"/>
      <c r="OI131" s="92"/>
      <c r="OJ131" s="92"/>
      <c r="OK131" s="92"/>
      <c r="OL131" s="92"/>
      <c r="OM131" s="92"/>
      <c r="ON131" s="92"/>
      <c r="OO131" s="92"/>
      <c r="OP131" s="92"/>
      <c r="OQ131" s="92"/>
      <c r="OR131" s="92"/>
      <c r="OS131" s="92"/>
      <c r="OT131" s="92"/>
      <c r="OU131" s="92"/>
      <c r="OV131" s="92"/>
      <c r="OW131" s="92"/>
      <c r="OX131" s="92"/>
      <c r="OY131" s="92"/>
      <c r="OZ131" s="92"/>
      <c r="PA131" s="92"/>
      <c r="PB131" s="92"/>
      <c r="PC131" s="92"/>
      <c r="PD131" s="92"/>
      <c r="PE131" s="92"/>
      <c r="PF131" s="92"/>
      <c r="PG131" s="92"/>
      <c r="PH131" s="92"/>
      <c r="PI131" s="92"/>
      <c r="PJ131" s="92"/>
      <c r="PK131" s="92"/>
      <c r="PL131" s="92"/>
      <c r="PM131" s="92"/>
      <c r="PN131" s="92"/>
      <c r="PO131" s="92"/>
      <c r="PP131" s="92"/>
      <c r="PQ131" s="92"/>
      <c r="PR131" s="92"/>
      <c r="PS131" s="92"/>
      <c r="PT131" s="92"/>
      <c r="PU131" s="92"/>
      <c r="PV131" s="92"/>
      <c r="PW131" s="92"/>
      <c r="PX131" s="92"/>
      <c r="PY131" s="92"/>
      <c r="PZ131" s="92"/>
      <c r="QA131" s="92"/>
      <c r="QB131" s="92"/>
      <c r="QC131" s="92"/>
      <c r="QD131" s="92"/>
      <c r="QE131" s="92"/>
      <c r="QF131" s="92"/>
      <c r="QG131" s="92"/>
      <c r="QH131" s="92"/>
      <c r="QI131" s="92"/>
      <c r="QJ131" s="92"/>
      <c r="QK131" s="92"/>
      <c r="QL131" s="92"/>
      <c r="QM131" s="92"/>
      <c r="QN131" s="92"/>
      <c r="QO131" s="92"/>
      <c r="QP131" s="92"/>
      <c r="QQ131" s="92"/>
      <c r="QR131" s="92"/>
      <c r="QS131" s="92"/>
      <c r="QT131" s="92"/>
      <c r="QU131" s="92"/>
      <c r="QV131" s="92"/>
      <c r="QW131" s="92"/>
      <c r="QX131" s="92"/>
      <c r="QY131" s="92"/>
      <c r="QZ131" s="92"/>
      <c r="RA131" s="92"/>
      <c r="RB131" s="92"/>
      <c r="RC131" s="92"/>
      <c r="RD131" s="92"/>
      <c r="RE131" s="92"/>
      <c r="RF131" s="92"/>
      <c r="RG131" s="92"/>
      <c r="RH131" s="92"/>
      <c r="RI131" s="92"/>
      <c r="RJ131" s="92"/>
      <c r="RK131" s="92"/>
      <c r="RL131" s="92"/>
      <c r="RM131" s="92"/>
      <c r="RN131" s="92"/>
      <c r="RO131" s="92"/>
      <c r="RP131" s="92"/>
      <c r="RQ131" s="92"/>
      <c r="RR131" s="92"/>
      <c r="RS131" s="92"/>
      <c r="RT131" s="92"/>
      <c r="RU131" s="92"/>
      <c r="RV131" s="92"/>
      <c r="RW131" s="92"/>
      <c r="RX131" s="92"/>
      <c r="RY131" s="92"/>
      <c r="RZ131" s="92"/>
      <c r="SA131" s="92"/>
      <c r="SB131" s="92"/>
      <c r="SC131" s="92"/>
      <c r="SD131" s="92"/>
      <c r="SE131" s="92"/>
      <c r="SF131" s="92"/>
      <c r="SG131" s="92"/>
      <c r="SH131" s="92"/>
      <c r="SI131" s="92"/>
      <c r="SJ131" s="92"/>
      <c r="SK131" s="92"/>
      <c r="SL131" s="92"/>
      <c r="SM131" s="92"/>
      <c r="SN131" s="92"/>
      <c r="SO131" s="92"/>
      <c r="SP131" s="92"/>
      <c r="SQ131" s="92"/>
      <c r="SR131" s="92"/>
      <c r="SS131" s="92"/>
      <c r="ST131" s="92"/>
      <c r="SU131" s="92"/>
      <c r="SV131" s="92"/>
      <c r="SW131" s="92"/>
      <c r="SX131" s="92"/>
      <c r="SY131" s="92"/>
      <c r="SZ131" s="92"/>
      <c r="TA131" s="92"/>
      <c r="TB131" s="92"/>
      <c r="TC131" s="92"/>
      <c r="TD131" s="92"/>
      <c r="TE131" s="92"/>
      <c r="TF131" s="92"/>
      <c r="TG131" s="92"/>
      <c r="TH131" s="92"/>
      <c r="TI131" s="92"/>
      <c r="TJ131" s="92"/>
      <c r="TK131" s="92"/>
      <c r="TL131" s="92"/>
      <c r="TM131" s="92"/>
      <c r="TN131" s="92"/>
      <c r="TO131" s="92"/>
      <c r="TP131" s="92"/>
      <c r="TQ131" s="92"/>
      <c r="TR131" s="92"/>
      <c r="TS131" s="92"/>
      <c r="TT131" s="92"/>
      <c r="TU131" s="92"/>
      <c r="TV131" s="92"/>
      <c r="TW131" s="92"/>
      <c r="TX131" s="92"/>
      <c r="TY131" s="92"/>
      <c r="TZ131" s="92"/>
      <c r="UA131" s="92"/>
      <c r="UB131" s="92"/>
      <c r="UC131" s="92"/>
      <c r="UD131" s="92"/>
      <c r="UE131" s="92"/>
      <c r="UF131" s="92"/>
      <c r="UG131" s="92"/>
      <c r="UH131" s="92"/>
      <c r="UI131" s="92"/>
      <c r="UJ131" s="92"/>
      <c r="UK131" s="92"/>
      <c r="UL131" s="92"/>
      <c r="UM131" s="92"/>
      <c r="UN131" s="92"/>
      <c r="UO131" s="92"/>
      <c r="UP131" s="92"/>
      <c r="UQ131" s="92"/>
      <c r="UR131" s="92"/>
      <c r="US131" s="92"/>
      <c r="UT131" s="92"/>
      <c r="UU131" s="92"/>
      <c r="UV131" s="92"/>
      <c r="UW131" s="92"/>
      <c r="UX131" s="92"/>
      <c r="UY131" s="92"/>
      <c r="UZ131" s="92"/>
      <c r="VA131" s="92"/>
      <c r="VB131" s="92"/>
      <c r="VC131" s="92"/>
      <c r="VD131" s="92"/>
      <c r="VE131" s="92"/>
      <c r="VF131" s="92"/>
      <c r="VG131" s="92"/>
      <c r="VH131" s="92"/>
      <c r="VI131" s="92"/>
      <c r="VJ131" s="92"/>
      <c r="VK131" s="92"/>
      <c r="VL131" s="92"/>
      <c r="VM131" s="92"/>
      <c r="VN131" s="92"/>
      <c r="VO131" s="92"/>
      <c r="VP131" s="92"/>
      <c r="VQ131" s="92"/>
      <c r="VR131" s="92"/>
      <c r="VS131" s="92"/>
      <c r="VT131" s="92"/>
      <c r="VU131" s="92"/>
      <c r="VV131" s="92"/>
      <c r="VW131" s="92"/>
      <c r="VX131" s="92"/>
      <c r="VY131" s="92"/>
      <c r="VZ131" s="92"/>
      <c r="WA131" s="92"/>
      <c r="WB131" s="92"/>
      <c r="WC131" s="92"/>
      <c r="WD131" s="92"/>
      <c r="WE131" s="92"/>
      <c r="WF131" s="92"/>
      <c r="WG131" s="92"/>
      <c r="WH131" s="92"/>
      <c r="WI131" s="92"/>
      <c r="WJ131" s="92"/>
      <c r="WK131" s="92"/>
      <c r="WL131" s="92"/>
      <c r="WM131" s="92"/>
      <c r="WN131" s="92"/>
      <c r="WO131" s="92"/>
      <c r="WP131" s="92"/>
      <c r="WQ131" s="92"/>
      <c r="WR131" s="92"/>
      <c r="WS131" s="92"/>
      <c r="WT131" s="92"/>
      <c r="WU131" s="92"/>
      <c r="WV131" s="92"/>
      <c r="WW131" s="92"/>
      <c r="WX131" s="92"/>
      <c r="WY131" s="92"/>
      <c r="WZ131" s="92"/>
      <c r="XA131" s="92"/>
      <c r="XB131" s="92"/>
      <c r="XC131" s="92"/>
      <c r="XD131" s="92"/>
      <c r="XE131" s="92"/>
      <c r="XF131" s="92"/>
      <c r="XG131" s="92"/>
      <c r="XH131" s="92"/>
      <c r="XI131" s="92"/>
      <c r="XJ131" s="92"/>
      <c r="XK131" s="92"/>
      <c r="XL131" s="92"/>
      <c r="XM131" s="92"/>
      <c r="XN131" s="92"/>
      <c r="XO131" s="92"/>
      <c r="XP131" s="92"/>
      <c r="XQ131" s="92"/>
      <c r="XR131" s="92"/>
      <c r="XS131" s="92"/>
      <c r="XT131" s="92"/>
      <c r="XU131" s="92"/>
      <c r="XV131" s="92"/>
      <c r="XW131" s="92"/>
      <c r="XX131" s="92"/>
      <c r="XY131" s="92"/>
      <c r="XZ131" s="92"/>
      <c r="YA131" s="92"/>
      <c r="YB131" s="92"/>
      <c r="YC131" s="92"/>
      <c r="YD131" s="92"/>
      <c r="YE131" s="92"/>
      <c r="YF131" s="92"/>
      <c r="YG131" s="92"/>
      <c r="YH131" s="92"/>
      <c r="YI131" s="92"/>
      <c r="YJ131" s="92"/>
      <c r="YK131" s="92"/>
      <c r="YL131" s="92"/>
      <c r="YM131" s="92"/>
      <c r="YN131" s="92"/>
      <c r="YO131" s="92"/>
      <c r="YP131" s="92"/>
      <c r="YQ131" s="92"/>
      <c r="YR131" s="92"/>
      <c r="YS131" s="92"/>
      <c r="YT131" s="92"/>
      <c r="YU131" s="92"/>
      <c r="YV131" s="92"/>
      <c r="YW131" s="92"/>
      <c r="YX131" s="92"/>
      <c r="YY131" s="92"/>
      <c r="YZ131" s="92"/>
      <c r="ZA131" s="92"/>
      <c r="ZB131" s="92"/>
      <c r="ZC131" s="92"/>
      <c r="ZD131" s="92"/>
      <c r="ZE131" s="92"/>
      <c r="ZF131" s="92"/>
      <c r="ZG131" s="92"/>
      <c r="ZH131" s="92"/>
      <c r="ZI131" s="92"/>
      <c r="ZJ131" s="92"/>
      <c r="ZK131" s="92"/>
      <c r="ZL131" s="92"/>
      <c r="ZM131" s="92"/>
      <c r="ZN131" s="92"/>
      <c r="ZO131" s="92"/>
      <c r="ZP131" s="92"/>
      <c r="ZQ131" s="92"/>
      <c r="ZR131" s="92"/>
      <c r="ZS131" s="92"/>
      <c r="ZT131" s="92"/>
      <c r="ZU131" s="92"/>
      <c r="ZV131" s="92"/>
      <c r="ZW131" s="92"/>
      <c r="ZX131" s="92"/>
      <c r="ZY131" s="92"/>
      <c r="ZZ131" s="92"/>
      <c r="AAA131" s="92"/>
      <c r="AAB131" s="92"/>
      <c r="AAC131" s="92"/>
      <c r="AAD131" s="92"/>
      <c r="AAE131" s="92"/>
      <c r="AAF131" s="92"/>
      <c r="AAG131" s="92"/>
      <c r="AAH131" s="92"/>
      <c r="AAI131" s="92"/>
      <c r="AAJ131" s="92"/>
      <c r="AAK131" s="92"/>
      <c r="AAL131" s="92"/>
      <c r="AAM131" s="92"/>
      <c r="AAN131" s="92"/>
      <c r="AAO131" s="92"/>
      <c r="AAP131" s="92"/>
      <c r="AAQ131" s="92"/>
      <c r="AAR131" s="92"/>
      <c r="AAS131" s="92"/>
      <c r="AAT131" s="92"/>
      <c r="AAU131" s="92"/>
      <c r="AAV131" s="92"/>
      <c r="AAW131" s="92"/>
      <c r="AAX131" s="92"/>
      <c r="AAY131" s="92"/>
      <c r="AAZ131" s="92"/>
      <c r="ABA131" s="92"/>
      <c r="ABB131" s="92"/>
      <c r="ABC131" s="92"/>
      <c r="ABD131" s="92"/>
      <c r="ABE131" s="92"/>
      <c r="ABF131" s="92"/>
      <c r="ABG131" s="92"/>
      <c r="ABH131" s="92"/>
      <c r="ABI131" s="92"/>
      <c r="ABJ131" s="92"/>
      <c r="ABK131" s="92"/>
      <c r="ABL131" s="92"/>
      <c r="ABM131" s="92"/>
      <c r="ABN131" s="92"/>
      <c r="ABO131" s="92"/>
      <c r="ABP131" s="92"/>
      <c r="ABQ131" s="92"/>
      <c r="ABR131" s="92"/>
      <c r="ABS131" s="92"/>
      <c r="ABT131" s="92"/>
      <c r="ABU131" s="92"/>
      <c r="ABV131" s="92"/>
      <c r="ABW131" s="92"/>
      <c r="ABX131" s="92"/>
      <c r="ABY131" s="92"/>
      <c r="ABZ131" s="92"/>
      <c r="ACA131" s="92"/>
      <c r="ACB131" s="92"/>
      <c r="ACC131" s="92"/>
      <c r="ACD131" s="92"/>
      <c r="ACE131" s="92"/>
      <c r="ACF131" s="92"/>
      <c r="ACG131" s="92"/>
      <c r="ACH131" s="92"/>
      <c r="ACI131" s="92"/>
      <c r="ACJ131" s="92"/>
      <c r="ACK131" s="92"/>
      <c r="ACL131" s="92"/>
      <c r="ACM131" s="92"/>
      <c r="ACN131" s="92"/>
      <c r="ACO131" s="92"/>
      <c r="ACP131" s="92"/>
      <c r="ACQ131" s="92"/>
      <c r="ACR131" s="92"/>
      <c r="ACS131" s="92"/>
      <c r="ACT131" s="92"/>
      <c r="ACU131" s="92"/>
      <c r="ACV131" s="92"/>
      <c r="ACW131" s="92"/>
      <c r="ACX131" s="92"/>
      <c r="ACY131" s="92"/>
      <c r="ACZ131" s="92"/>
      <c r="ADA131" s="92"/>
      <c r="ADB131" s="92"/>
      <c r="ADC131" s="92"/>
      <c r="ADD131" s="92"/>
      <c r="ADE131" s="92"/>
      <c r="ADF131" s="92"/>
      <c r="ADG131" s="92"/>
      <c r="ADH131" s="92"/>
      <c r="ADI131" s="92"/>
      <c r="ADJ131" s="92"/>
      <c r="ADK131" s="92"/>
      <c r="ADL131" s="92"/>
      <c r="ADM131" s="92"/>
      <c r="ADN131" s="92"/>
      <c r="ADO131" s="92"/>
      <c r="ADP131" s="92"/>
      <c r="ADQ131" s="92"/>
      <c r="ADR131" s="92"/>
      <c r="ADS131" s="92"/>
      <c r="ADT131" s="92"/>
      <c r="ADU131" s="92"/>
      <c r="ADV131" s="92"/>
      <c r="ADW131" s="92"/>
      <c r="ADX131" s="92"/>
      <c r="ADY131" s="92"/>
      <c r="ADZ131" s="92"/>
      <c r="AEA131" s="92"/>
      <c r="AEB131" s="92"/>
      <c r="AEC131" s="92"/>
      <c r="AED131" s="92"/>
      <c r="AEE131" s="92"/>
      <c r="AEF131" s="92"/>
      <c r="AEG131" s="92"/>
      <c r="AEH131" s="92"/>
      <c r="AEI131" s="92"/>
      <c r="AEJ131" s="92"/>
      <c r="AEK131" s="92"/>
      <c r="AEL131" s="92"/>
      <c r="AEM131" s="92"/>
      <c r="AEN131" s="92"/>
      <c r="AEO131" s="92"/>
      <c r="AEP131" s="92"/>
      <c r="AEQ131" s="92"/>
      <c r="AER131" s="92"/>
      <c r="AES131" s="92"/>
      <c r="AET131" s="92"/>
      <c r="AEU131" s="92"/>
      <c r="AEV131" s="92"/>
      <c r="AEW131" s="92"/>
      <c r="AEX131" s="92"/>
      <c r="AEY131" s="92"/>
      <c r="AEZ131" s="92"/>
      <c r="AFA131" s="92"/>
      <c r="AFB131" s="92"/>
      <c r="AFC131" s="92"/>
      <c r="AFD131" s="92"/>
      <c r="AFE131" s="92"/>
      <c r="AFF131" s="92"/>
      <c r="AFG131" s="92"/>
      <c r="AFH131" s="92"/>
      <c r="AFI131" s="92"/>
      <c r="AFJ131" s="92"/>
      <c r="AFK131" s="92"/>
      <c r="AFL131" s="92"/>
      <c r="AFM131" s="92"/>
      <c r="AFN131" s="92"/>
      <c r="AFO131" s="92"/>
      <c r="AFP131" s="92"/>
      <c r="AFQ131" s="92"/>
      <c r="AFR131" s="92"/>
      <c r="AFS131" s="92"/>
      <c r="AFT131" s="92"/>
      <c r="AFU131" s="92"/>
      <c r="AFV131" s="92"/>
      <c r="AFW131" s="92"/>
      <c r="AFX131" s="92"/>
      <c r="AFY131" s="92"/>
      <c r="AFZ131" s="92"/>
      <c r="AGA131" s="92"/>
      <c r="AGB131" s="92"/>
      <c r="AGC131" s="92"/>
      <c r="AGD131" s="92"/>
      <c r="AGE131" s="92"/>
      <c r="AGF131" s="92"/>
      <c r="AGG131" s="92"/>
      <c r="AGH131" s="92"/>
      <c r="AGI131" s="92"/>
      <c r="AGJ131" s="92"/>
      <c r="AGK131" s="92"/>
      <c r="AGL131" s="92"/>
      <c r="AGM131" s="92"/>
      <c r="AGN131" s="92"/>
      <c r="AGO131" s="92"/>
      <c r="AGP131" s="92"/>
      <c r="AGQ131" s="92"/>
      <c r="AGR131" s="92"/>
      <c r="AGS131" s="92"/>
      <c r="AGT131" s="92"/>
      <c r="AGU131" s="92"/>
      <c r="AGV131" s="92"/>
      <c r="AGW131" s="92"/>
      <c r="AGX131" s="92"/>
      <c r="AGY131" s="92"/>
      <c r="AGZ131" s="92"/>
      <c r="AHA131" s="92"/>
      <c r="AHB131" s="92"/>
      <c r="AHC131" s="92"/>
      <c r="AHD131" s="92"/>
      <c r="AHE131" s="92"/>
      <c r="AHF131" s="92"/>
      <c r="AHG131" s="92"/>
      <c r="AHH131" s="92"/>
      <c r="AHI131" s="92"/>
      <c r="AHJ131" s="92"/>
      <c r="AHK131" s="92"/>
      <c r="AHL131" s="92"/>
      <c r="AHM131" s="92"/>
      <c r="AHN131" s="92"/>
      <c r="AHO131" s="92"/>
      <c r="AHP131" s="92"/>
      <c r="AHQ131" s="92"/>
      <c r="AHR131" s="92"/>
      <c r="AHS131" s="92"/>
      <c r="AHT131" s="92"/>
      <c r="AHU131" s="92"/>
      <c r="AHV131" s="92"/>
      <c r="AHW131" s="92"/>
      <c r="AHX131" s="92"/>
      <c r="AHY131" s="92"/>
      <c r="AHZ131" s="92"/>
      <c r="AIA131" s="92"/>
      <c r="AIB131" s="92"/>
      <c r="AIC131" s="92"/>
      <c r="AID131" s="92"/>
      <c r="AIE131" s="92"/>
      <c r="AIF131" s="92"/>
      <c r="AIG131" s="92"/>
      <c r="AIH131" s="92"/>
      <c r="AII131" s="92"/>
      <c r="AIJ131" s="92"/>
      <c r="AIK131" s="92"/>
      <c r="AIL131" s="92"/>
      <c r="AIM131" s="92"/>
      <c r="AIN131" s="92"/>
      <c r="AIO131" s="92"/>
      <c r="AIP131" s="92"/>
      <c r="AIQ131" s="92"/>
      <c r="AIR131" s="92"/>
      <c r="AIS131" s="92"/>
      <c r="AIT131" s="92"/>
      <c r="AIU131" s="92"/>
      <c r="AIV131" s="92"/>
      <c r="AIW131" s="92"/>
      <c r="AIX131" s="92"/>
      <c r="AIY131" s="92"/>
      <c r="AIZ131" s="92"/>
      <c r="AJA131" s="92"/>
      <c r="AJB131" s="92"/>
      <c r="AJC131" s="92"/>
      <c r="AJD131" s="92"/>
      <c r="AJE131" s="92"/>
      <c r="AJF131" s="92"/>
      <c r="AJG131" s="92"/>
      <c r="AJH131" s="92"/>
      <c r="AJI131" s="92"/>
      <c r="AJJ131" s="92"/>
      <c r="AJK131" s="92"/>
      <c r="AJL131" s="92"/>
      <c r="AJM131" s="92"/>
      <c r="AJN131" s="92"/>
      <c r="AJO131" s="92"/>
      <c r="AJP131" s="92"/>
      <c r="AJQ131" s="92"/>
      <c r="AJR131" s="92"/>
      <c r="AJS131" s="92"/>
      <c r="AJT131" s="92"/>
      <c r="AJU131" s="92"/>
      <c r="AJV131" s="92"/>
      <c r="AJW131" s="92"/>
      <c r="AJX131" s="92"/>
      <c r="AJY131" s="92"/>
      <c r="AJZ131" s="92"/>
      <c r="AKA131" s="92"/>
      <c r="AKB131" s="92"/>
      <c r="AKC131" s="92"/>
      <c r="AKD131" s="92"/>
      <c r="AKE131" s="92"/>
      <c r="AKF131" s="92"/>
      <c r="AKG131" s="92"/>
      <c r="AKH131" s="92"/>
      <c r="AKI131" s="92"/>
      <c r="AKJ131" s="92"/>
      <c r="AKK131" s="92"/>
      <c r="AKL131" s="92"/>
      <c r="AKM131" s="92"/>
      <c r="AKN131" s="92"/>
      <c r="AKO131" s="92"/>
      <c r="AKP131" s="92"/>
      <c r="AKQ131" s="92"/>
      <c r="AKR131" s="92"/>
      <c r="AKS131" s="92"/>
      <c r="AKT131" s="92"/>
      <c r="AKU131" s="92"/>
      <c r="AKV131" s="92"/>
      <c r="AKW131" s="92"/>
      <c r="AKX131" s="92"/>
      <c r="AKY131" s="92"/>
      <c r="AKZ131" s="92"/>
      <c r="ALA131" s="92"/>
      <c r="ALB131" s="92"/>
      <c r="ALC131" s="92"/>
      <c r="ALD131" s="92"/>
      <c r="ALE131" s="92"/>
      <c r="ALF131" s="92"/>
      <c r="ALG131" s="92"/>
      <c r="ALH131" s="92"/>
      <c r="ALI131" s="92"/>
      <c r="ALJ131" s="92"/>
      <c r="ALK131" s="92"/>
      <c r="ALL131" s="92"/>
      <c r="ALM131" s="92"/>
      <c r="ALN131" s="92"/>
      <c r="ALO131" s="92"/>
      <c r="ALP131" s="92"/>
      <c r="ALQ131" s="92"/>
      <c r="ALR131" s="92"/>
      <c r="ALS131" s="92"/>
      <c r="ALT131" s="92"/>
      <c r="ALU131" s="92"/>
      <c r="ALV131" s="92"/>
      <c r="ALW131" s="92"/>
      <c r="ALX131" s="92"/>
      <c r="ALY131" s="92"/>
      <c r="ALZ131" s="92"/>
      <c r="AMA131" s="92"/>
      <c r="AMB131" s="92"/>
      <c r="AMC131" s="92"/>
      <c r="AMD131" s="92"/>
      <c r="AME131" s="92"/>
      <c r="AMF131" s="92"/>
      <c r="AMG131" s="92"/>
      <c r="AMH131" s="92"/>
      <c r="AMI131" s="92"/>
      <c r="AMJ131" s="92"/>
      <c r="AMK131" s="92"/>
      <c r="AML131" s="92"/>
      <c r="AMM131" s="92"/>
      <c r="AMN131" s="92"/>
      <c r="AMO131" s="92"/>
      <c r="AMP131" s="92"/>
      <c r="AMQ131" s="92"/>
      <c r="AMR131" s="92"/>
      <c r="AMS131" s="92"/>
      <c r="AMT131" s="92"/>
      <c r="AMU131" s="92"/>
      <c r="AMV131" s="92"/>
      <c r="AMW131" s="92"/>
      <c r="AMX131" s="92"/>
    </row>
    <row r="132" spans="1:1038" ht="14.65" customHeight="1" x14ac:dyDescent="0.4">
      <c r="A132" s="16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41"/>
      <c r="O132" s="41"/>
      <c r="P132" s="41"/>
      <c r="Q132" s="41"/>
      <c r="R132" s="41"/>
      <c r="S132" s="41"/>
      <c r="T132" s="41"/>
      <c r="U132" s="41"/>
      <c r="V132" s="92"/>
      <c r="W132" s="92"/>
      <c r="X132" s="92"/>
      <c r="Y132" s="92"/>
      <c r="Z132" s="92"/>
      <c r="AA132" s="92"/>
      <c r="AB132" s="92"/>
      <c r="AC132" s="92"/>
      <c r="AD132" s="92"/>
      <c r="AE132" s="92"/>
      <c r="AF132" s="92"/>
      <c r="AG132" s="92"/>
      <c r="AH132" s="92"/>
      <c r="AI132" s="92"/>
      <c r="AJ132" s="92"/>
      <c r="AK132" s="92"/>
      <c r="AL132" s="92"/>
      <c r="AM132" s="92"/>
      <c r="AN132" s="92"/>
      <c r="AO132" s="92"/>
      <c r="AP132" s="92"/>
      <c r="AQ132" s="92"/>
      <c r="AR132" s="92"/>
      <c r="AS132" s="92"/>
      <c r="AT132" s="92"/>
      <c r="AU132" s="92"/>
      <c r="AV132" s="92"/>
      <c r="AW132" s="92"/>
      <c r="AX132" s="92"/>
      <c r="AY132" s="92"/>
      <c r="AZ132" s="92"/>
      <c r="BA132" s="92"/>
      <c r="BB132" s="92"/>
      <c r="BC132" s="92"/>
      <c r="BD132" s="92"/>
      <c r="BE132" s="92"/>
      <c r="BF132" s="92"/>
      <c r="BG132" s="92"/>
      <c r="BH132" s="92"/>
      <c r="BI132" s="92"/>
      <c r="BJ132" s="92"/>
      <c r="BK132" s="92"/>
      <c r="BL132" s="92"/>
      <c r="BM132" s="92"/>
      <c r="BN132" s="92"/>
      <c r="BO132" s="92"/>
      <c r="BP132" s="92"/>
      <c r="BQ132" s="92"/>
      <c r="BR132" s="92"/>
      <c r="BS132" s="92"/>
      <c r="BT132" s="92"/>
      <c r="BU132" s="92"/>
      <c r="BV132" s="92"/>
      <c r="BW132" s="92"/>
      <c r="BX132" s="92"/>
      <c r="BY132" s="92"/>
      <c r="BZ132" s="92"/>
      <c r="CA132" s="92"/>
      <c r="CB132" s="92"/>
      <c r="CC132" s="92"/>
      <c r="CD132" s="92"/>
      <c r="CE132" s="92"/>
      <c r="CF132" s="92"/>
      <c r="CG132" s="92"/>
      <c r="CH132" s="92"/>
      <c r="CI132" s="92"/>
      <c r="CJ132" s="92"/>
      <c r="CK132" s="92"/>
      <c r="CL132" s="92"/>
      <c r="CM132" s="92"/>
      <c r="CN132" s="92"/>
      <c r="CO132" s="92"/>
      <c r="CP132" s="92"/>
      <c r="CQ132" s="92"/>
      <c r="CR132" s="92"/>
      <c r="CS132" s="92"/>
      <c r="CT132" s="92"/>
      <c r="CU132" s="92"/>
      <c r="CV132" s="92"/>
      <c r="CW132" s="92"/>
      <c r="CX132" s="92"/>
      <c r="CY132" s="92"/>
      <c r="CZ132" s="92"/>
      <c r="DA132" s="92"/>
      <c r="DB132" s="92"/>
      <c r="DC132" s="92"/>
      <c r="DD132" s="92"/>
      <c r="DE132" s="92"/>
      <c r="DF132" s="92"/>
      <c r="DG132" s="92"/>
      <c r="DH132" s="92"/>
      <c r="DI132" s="92"/>
      <c r="DJ132" s="92"/>
      <c r="DK132" s="92"/>
      <c r="DL132" s="92"/>
      <c r="DM132" s="92"/>
      <c r="DN132" s="92"/>
      <c r="DO132" s="92"/>
      <c r="DP132" s="92"/>
      <c r="DQ132" s="92"/>
      <c r="DR132" s="92"/>
      <c r="DS132" s="92"/>
      <c r="DT132" s="92"/>
      <c r="DU132" s="92"/>
      <c r="DV132" s="92"/>
      <c r="DW132" s="92"/>
      <c r="DX132" s="92"/>
      <c r="DY132" s="92"/>
      <c r="DZ132" s="92"/>
      <c r="EA132" s="92"/>
      <c r="EB132" s="92"/>
      <c r="EC132" s="92"/>
      <c r="ED132" s="92"/>
      <c r="EE132" s="92"/>
      <c r="EF132" s="92"/>
      <c r="EG132" s="92"/>
      <c r="EH132" s="92"/>
      <c r="EI132" s="92"/>
      <c r="EJ132" s="92"/>
      <c r="EK132" s="92"/>
      <c r="EL132" s="92"/>
      <c r="EM132" s="92"/>
      <c r="EN132" s="92"/>
      <c r="EO132" s="92"/>
      <c r="EP132" s="92"/>
      <c r="EQ132" s="92"/>
      <c r="ER132" s="92"/>
      <c r="ES132" s="92"/>
      <c r="ET132" s="92"/>
      <c r="EU132" s="92"/>
      <c r="EV132" s="92"/>
      <c r="EW132" s="92"/>
      <c r="EX132" s="92"/>
      <c r="EY132" s="92"/>
      <c r="EZ132" s="92"/>
      <c r="FA132" s="92"/>
      <c r="FB132" s="92"/>
      <c r="FC132" s="92"/>
      <c r="FD132" s="92"/>
      <c r="FE132" s="92"/>
      <c r="FF132" s="92"/>
      <c r="FG132" s="92"/>
      <c r="FH132" s="92"/>
      <c r="FI132" s="92"/>
      <c r="FJ132" s="92"/>
      <c r="FK132" s="92"/>
      <c r="FL132" s="92"/>
      <c r="FM132" s="92"/>
      <c r="FN132" s="92"/>
      <c r="FO132" s="92"/>
      <c r="FP132" s="92"/>
      <c r="FQ132" s="92"/>
      <c r="FR132" s="92"/>
      <c r="FS132" s="92"/>
      <c r="FT132" s="92"/>
      <c r="FU132" s="92"/>
      <c r="FV132" s="92"/>
      <c r="FW132" s="92"/>
      <c r="FX132" s="92"/>
      <c r="FY132" s="92"/>
      <c r="FZ132" s="92"/>
      <c r="GA132" s="92"/>
      <c r="GB132" s="92"/>
      <c r="GC132" s="92"/>
      <c r="GD132" s="92"/>
      <c r="GE132" s="92"/>
      <c r="GF132" s="92"/>
      <c r="GG132" s="92"/>
      <c r="GH132" s="92"/>
      <c r="GI132" s="92"/>
      <c r="GJ132" s="92"/>
      <c r="GK132" s="92"/>
      <c r="GL132" s="92"/>
      <c r="GM132" s="92"/>
      <c r="GN132" s="92"/>
      <c r="GO132" s="92"/>
      <c r="GP132" s="92"/>
      <c r="GQ132" s="92"/>
      <c r="GR132" s="92"/>
      <c r="GS132" s="92"/>
      <c r="GT132" s="92"/>
      <c r="GU132" s="92"/>
      <c r="GV132" s="92"/>
      <c r="GW132" s="92"/>
      <c r="GX132" s="92"/>
      <c r="GY132" s="92"/>
      <c r="GZ132" s="92"/>
      <c r="HA132" s="92"/>
      <c r="HB132" s="92"/>
      <c r="HC132" s="92"/>
      <c r="HD132" s="92"/>
      <c r="HE132" s="92"/>
      <c r="HF132" s="92"/>
      <c r="HG132" s="92"/>
      <c r="HH132" s="92"/>
      <c r="HI132" s="92"/>
      <c r="HJ132" s="92"/>
      <c r="HK132" s="92"/>
      <c r="HL132" s="92"/>
      <c r="HM132" s="92"/>
      <c r="HN132" s="92"/>
      <c r="HO132" s="92"/>
      <c r="HP132" s="92"/>
      <c r="HQ132" s="92"/>
      <c r="HR132" s="92"/>
      <c r="HS132" s="92"/>
      <c r="HT132" s="92"/>
      <c r="HU132" s="92"/>
      <c r="HV132" s="92"/>
      <c r="HW132" s="92"/>
      <c r="HX132" s="92"/>
      <c r="HY132" s="92"/>
      <c r="HZ132" s="92"/>
      <c r="IA132" s="92"/>
      <c r="IB132" s="92"/>
      <c r="IC132" s="92"/>
      <c r="ID132" s="92"/>
      <c r="IE132" s="92"/>
      <c r="IF132" s="92"/>
      <c r="IG132" s="92"/>
      <c r="IH132" s="92"/>
      <c r="II132" s="92"/>
      <c r="IJ132" s="92"/>
      <c r="IK132" s="92"/>
      <c r="IL132" s="92"/>
      <c r="IM132" s="92"/>
      <c r="IN132" s="92"/>
      <c r="IO132" s="92"/>
      <c r="IP132" s="92"/>
      <c r="IQ132" s="92"/>
      <c r="IR132" s="92"/>
      <c r="IS132" s="92"/>
      <c r="IT132" s="92"/>
      <c r="IU132" s="92"/>
      <c r="IV132" s="92"/>
      <c r="IW132" s="92"/>
      <c r="IX132" s="92"/>
      <c r="IY132" s="92"/>
      <c r="IZ132" s="92"/>
      <c r="JA132" s="92"/>
      <c r="JB132" s="92"/>
      <c r="JC132" s="92"/>
      <c r="JD132" s="92"/>
      <c r="JE132" s="92"/>
      <c r="JF132" s="92"/>
      <c r="JG132" s="92"/>
      <c r="JH132" s="92"/>
      <c r="JI132" s="92"/>
      <c r="JJ132" s="92"/>
      <c r="JK132" s="92"/>
      <c r="JL132" s="92"/>
      <c r="JM132" s="92"/>
      <c r="JN132" s="92"/>
      <c r="JO132" s="92"/>
      <c r="JP132" s="92"/>
      <c r="JQ132" s="92"/>
      <c r="JR132" s="92"/>
      <c r="JS132" s="92"/>
      <c r="JT132" s="92"/>
      <c r="JU132" s="92"/>
      <c r="JV132" s="92"/>
      <c r="JW132" s="92"/>
      <c r="JX132" s="92"/>
      <c r="JY132" s="92"/>
      <c r="JZ132" s="92"/>
      <c r="KA132" s="92"/>
      <c r="KB132" s="92"/>
      <c r="KC132" s="92"/>
      <c r="KD132" s="92"/>
      <c r="KE132" s="92"/>
      <c r="KF132" s="92"/>
      <c r="KG132" s="92"/>
      <c r="KH132" s="92"/>
      <c r="KI132" s="92"/>
      <c r="KJ132" s="92"/>
      <c r="KK132" s="92"/>
      <c r="KL132" s="92"/>
      <c r="KM132" s="92"/>
      <c r="KN132" s="92"/>
      <c r="KO132" s="92"/>
      <c r="KP132" s="92"/>
      <c r="KQ132" s="92"/>
      <c r="KR132" s="92"/>
      <c r="KS132" s="92"/>
      <c r="KT132" s="92"/>
      <c r="KU132" s="92"/>
      <c r="KV132" s="92"/>
      <c r="KW132" s="92"/>
      <c r="KX132" s="92"/>
      <c r="KY132" s="92"/>
      <c r="KZ132" s="92"/>
      <c r="LA132" s="92"/>
      <c r="LB132" s="92"/>
      <c r="LC132" s="92"/>
      <c r="LD132" s="92"/>
      <c r="LE132" s="92"/>
      <c r="LF132" s="92"/>
      <c r="LG132" s="92"/>
      <c r="LH132" s="92"/>
      <c r="LI132" s="92"/>
      <c r="LJ132" s="92"/>
      <c r="LK132" s="92"/>
      <c r="LL132" s="92"/>
      <c r="LM132" s="92"/>
      <c r="LN132" s="92"/>
      <c r="LO132" s="92"/>
      <c r="LP132" s="92"/>
      <c r="LQ132" s="92"/>
      <c r="LR132" s="92"/>
      <c r="LS132" s="92"/>
      <c r="LT132" s="92"/>
      <c r="LU132" s="92"/>
      <c r="LV132" s="92"/>
      <c r="LW132" s="92"/>
      <c r="LX132" s="92"/>
      <c r="LY132" s="92"/>
      <c r="LZ132" s="92"/>
      <c r="MA132" s="92"/>
      <c r="MB132" s="92"/>
      <c r="MC132" s="92"/>
      <c r="MD132" s="92"/>
      <c r="ME132" s="92"/>
      <c r="MF132" s="92"/>
      <c r="MG132" s="92"/>
      <c r="MH132" s="92"/>
      <c r="MI132" s="92"/>
      <c r="MJ132" s="92"/>
      <c r="MK132" s="92"/>
      <c r="ML132" s="92"/>
      <c r="MM132" s="92"/>
      <c r="MN132" s="92"/>
      <c r="MO132" s="92"/>
      <c r="MP132" s="92"/>
      <c r="MQ132" s="92"/>
      <c r="MR132" s="92"/>
      <c r="MS132" s="92"/>
      <c r="MT132" s="92"/>
      <c r="MU132" s="92"/>
      <c r="MV132" s="92"/>
      <c r="MW132" s="92"/>
      <c r="MX132" s="92"/>
      <c r="MY132" s="92"/>
      <c r="MZ132" s="92"/>
      <c r="NA132" s="92"/>
      <c r="NB132" s="92"/>
      <c r="NC132" s="92"/>
      <c r="ND132" s="92"/>
      <c r="NE132" s="92"/>
      <c r="NF132" s="92"/>
      <c r="NG132" s="92"/>
      <c r="NH132" s="92"/>
      <c r="NI132" s="92"/>
      <c r="NJ132" s="92"/>
      <c r="NK132" s="92"/>
      <c r="NL132" s="92"/>
      <c r="NM132" s="92"/>
      <c r="NN132" s="92"/>
      <c r="NO132" s="92"/>
      <c r="NP132" s="92"/>
      <c r="NQ132" s="92"/>
      <c r="NR132" s="92"/>
      <c r="NS132" s="92"/>
      <c r="NT132" s="92"/>
      <c r="NU132" s="92"/>
      <c r="NV132" s="92"/>
      <c r="NW132" s="92"/>
      <c r="NX132" s="92"/>
      <c r="NY132" s="92"/>
      <c r="NZ132" s="92"/>
      <c r="OA132" s="92"/>
      <c r="OB132" s="92"/>
      <c r="OC132" s="92"/>
      <c r="OD132" s="92"/>
      <c r="OE132" s="92"/>
      <c r="OF132" s="92"/>
      <c r="OG132" s="92"/>
      <c r="OH132" s="92"/>
      <c r="OI132" s="92"/>
      <c r="OJ132" s="92"/>
      <c r="OK132" s="92"/>
      <c r="OL132" s="92"/>
      <c r="OM132" s="92"/>
      <c r="ON132" s="92"/>
      <c r="OO132" s="92"/>
      <c r="OP132" s="92"/>
      <c r="OQ132" s="92"/>
      <c r="OR132" s="92"/>
      <c r="OS132" s="92"/>
      <c r="OT132" s="92"/>
      <c r="OU132" s="92"/>
      <c r="OV132" s="92"/>
      <c r="OW132" s="92"/>
      <c r="OX132" s="92"/>
      <c r="OY132" s="92"/>
      <c r="OZ132" s="92"/>
      <c r="PA132" s="92"/>
      <c r="PB132" s="92"/>
      <c r="PC132" s="92"/>
      <c r="PD132" s="92"/>
      <c r="PE132" s="92"/>
      <c r="PF132" s="92"/>
      <c r="PG132" s="92"/>
      <c r="PH132" s="92"/>
      <c r="PI132" s="92"/>
      <c r="PJ132" s="92"/>
      <c r="PK132" s="92"/>
      <c r="PL132" s="92"/>
      <c r="PM132" s="92"/>
      <c r="PN132" s="92"/>
      <c r="PO132" s="92"/>
      <c r="PP132" s="92"/>
      <c r="PQ132" s="92"/>
      <c r="PR132" s="92"/>
      <c r="PS132" s="92"/>
      <c r="PT132" s="92"/>
      <c r="PU132" s="92"/>
      <c r="PV132" s="92"/>
      <c r="PW132" s="92"/>
      <c r="PX132" s="92"/>
      <c r="PY132" s="92"/>
      <c r="PZ132" s="92"/>
      <c r="QA132" s="92"/>
      <c r="QB132" s="92"/>
      <c r="QC132" s="92"/>
      <c r="QD132" s="92"/>
      <c r="QE132" s="92"/>
      <c r="QF132" s="92"/>
      <c r="QG132" s="92"/>
      <c r="QH132" s="92"/>
      <c r="QI132" s="92"/>
      <c r="QJ132" s="92"/>
      <c r="QK132" s="92"/>
      <c r="QL132" s="92"/>
      <c r="QM132" s="92"/>
      <c r="QN132" s="92"/>
      <c r="QO132" s="92"/>
      <c r="QP132" s="92"/>
      <c r="QQ132" s="92"/>
      <c r="QR132" s="92"/>
      <c r="QS132" s="92"/>
      <c r="QT132" s="92"/>
      <c r="QU132" s="92"/>
      <c r="QV132" s="92"/>
      <c r="QW132" s="92"/>
      <c r="QX132" s="92"/>
      <c r="QY132" s="92"/>
      <c r="QZ132" s="92"/>
      <c r="RA132" s="92"/>
      <c r="RB132" s="92"/>
      <c r="RC132" s="92"/>
      <c r="RD132" s="92"/>
      <c r="RE132" s="92"/>
      <c r="RF132" s="92"/>
      <c r="RG132" s="92"/>
      <c r="RH132" s="92"/>
      <c r="RI132" s="92"/>
      <c r="RJ132" s="92"/>
      <c r="RK132" s="92"/>
      <c r="RL132" s="92"/>
      <c r="RM132" s="92"/>
      <c r="RN132" s="92"/>
      <c r="RO132" s="92"/>
      <c r="RP132" s="92"/>
      <c r="RQ132" s="92"/>
      <c r="RR132" s="92"/>
      <c r="RS132" s="92"/>
      <c r="RT132" s="92"/>
      <c r="RU132" s="92"/>
      <c r="RV132" s="92"/>
      <c r="RW132" s="92"/>
      <c r="RX132" s="92"/>
      <c r="RY132" s="92"/>
      <c r="RZ132" s="92"/>
      <c r="SA132" s="92"/>
      <c r="SB132" s="92"/>
      <c r="SC132" s="92"/>
      <c r="SD132" s="92"/>
      <c r="SE132" s="92"/>
      <c r="SF132" s="92"/>
      <c r="SG132" s="92"/>
      <c r="SH132" s="92"/>
      <c r="SI132" s="92"/>
      <c r="SJ132" s="92"/>
      <c r="SK132" s="92"/>
      <c r="SL132" s="92"/>
      <c r="SM132" s="92"/>
      <c r="SN132" s="92"/>
      <c r="SO132" s="92"/>
      <c r="SP132" s="92"/>
      <c r="SQ132" s="92"/>
      <c r="SR132" s="92"/>
      <c r="SS132" s="92"/>
      <c r="ST132" s="92"/>
      <c r="SU132" s="92"/>
      <c r="SV132" s="92"/>
      <c r="SW132" s="92"/>
      <c r="SX132" s="92"/>
      <c r="SY132" s="92"/>
      <c r="SZ132" s="92"/>
      <c r="TA132" s="92"/>
      <c r="TB132" s="92"/>
      <c r="TC132" s="92"/>
      <c r="TD132" s="92"/>
      <c r="TE132" s="92"/>
      <c r="TF132" s="92"/>
      <c r="TG132" s="92"/>
      <c r="TH132" s="92"/>
      <c r="TI132" s="92"/>
      <c r="TJ132" s="92"/>
      <c r="TK132" s="92"/>
      <c r="TL132" s="92"/>
      <c r="TM132" s="92"/>
      <c r="TN132" s="92"/>
      <c r="TO132" s="92"/>
      <c r="TP132" s="92"/>
      <c r="TQ132" s="92"/>
      <c r="TR132" s="92"/>
      <c r="TS132" s="92"/>
      <c r="TT132" s="92"/>
      <c r="TU132" s="92"/>
      <c r="TV132" s="92"/>
      <c r="TW132" s="92"/>
      <c r="TX132" s="92"/>
      <c r="TY132" s="92"/>
      <c r="TZ132" s="92"/>
      <c r="UA132" s="92"/>
      <c r="UB132" s="92"/>
      <c r="UC132" s="92"/>
      <c r="UD132" s="92"/>
      <c r="UE132" s="92"/>
      <c r="UF132" s="92"/>
      <c r="UG132" s="92"/>
      <c r="UH132" s="92"/>
      <c r="UI132" s="92"/>
      <c r="UJ132" s="92"/>
      <c r="UK132" s="92"/>
      <c r="UL132" s="92"/>
      <c r="UM132" s="92"/>
      <c r="UN132" s="92"/>
      <c r="UO132" s="92"/>
      <c r="UP132" s="92"/>
      <c r="UQ132" s="92"/>
      <c r="UR132" s="92"/>
      <c r="US132" s="92"/>
      <c r="UT132" s="92"/>
      <c r="UU132" s="92"/>
      <c r="UV132" s="92"/>
      <c r="UW132" s="92"/>
      <c r="UX132" s="92"/>
      <c r="UY132" s="92"/>
      <c r="UZ132" s="92"/>
      <c r="VA132" s="92"/>
      <c r="VB132" s="92"/>
      <c r="VC132" s="92"/>
      <c r="VD132" s="92"/>
      <c r="VE132" s="92"/>
      <c r="VF132" s="92"/>
      <c r="VG132" s="92"/>
      <c r="VH132" s="92"/>
      <c r="VI132" s="92"/>
      <c r="VJ132" s="92"/>
      <c r="VK132" s="92"/>
      <c r="VL132" s="92"/>
      <c r="VM132" s="92"/>
      <c r="VN132" s="92"/>
      <c r="VO132" s="92"/>
      <c r="VP132" s="92"/>
      <c r="VQ132" s="92"/>
      <c r="VR132" s="92"/>
      <c r="VS132" s="92"/>
      <c r="VT132" s="92"/>
      <c r="VU132" s="92"/>
      <c r="VV132" s="92"/>
      <c r="VW132" s="92"/>
      <c r="VX132" s="92"/>
      <c r="VY132" s="92"/>
      <c r="VZ132" s="92"/>
      <c r="WA132" s="92"/>
      <c r="WB132" s="92"/>
      <c r="WC132" s="92"/>
      <c r="WD132" s="92"/>
      <c r="WE132" s="92"/>
      <c r="WF132" s="92"/>
      <c r="WG132" s="92"/>
      <c r="WH132" s="92"/>
      <c r="WI132" s="92"/>
      <c r="WJ132" s="92"/>
      <c r="WK132" s="92"/>
      <c r="WL132" s="92"/>
      <c r="WM132" s="92"/>
      <c r="WN132" s="92"/>
      <c r="WO132" s="92"/>
      <c r="WP132" s="92"/>
      <c r="WQ132" s="92"/>
      <c r="WR132" s="92"/>
      <c r="WS132" s="92"/>
      <c r="WT132" s="92"/>
      <c r="WU132" s="92"/>
      <c r="WV132" s="92"/>
      <c r="WW132" s="92"/>
      <c r="WX132" s="92"/>
      <c r="WY132" s="92"/>
      <c r="WZ132" s="92"/>
      <c r="XA132" s="92"/>
      <c r="XB132" s="92"/>
      <c r="XC132" s="92"/>
      <c r="XD132" s="92"/>
      <c r="XE132" s="92"/>
      <c r="XF132" s="92"/>
      <c r="XG132" s="92"/>
      <c r="XH132" s="92"/>
      <c r="XI132" s="92"/>
      <c r="XJ132" s="92"/>
      <c r="XK132" s="92"/>
      <c r="XL132" s="92"/>
      <c r="XM132" s="92"/>
      <c r="XN132" s="92"/>
      <c r="XO132" s="92"/>
      <c r="XP132" s="92"/>
      <c r="XQ132" s="92"/>
      <c r="XR132" s="92"/>
      <c r="XS132" s="92"/>
      <c r="XT132" s="92"/>
      <c r="XU132" s="92"/>
      <c r="XV132" s="92"/>
      <c r="XW132" s="92"/>
      <c r="XX132" s="92"/>
      <c r="XY132" s="92"/>
      <c r="XZ132" s="92"/>
      <c r="YA132" s="92"/>
      <c r="YB132" s="92"/>
      <c r="YC132" s="92"/>
      <c r="YD132" s="92"/>
      <c r="YE132" s="92"/>
      <c r="YF132" s="92"/>
      <c r="YG132" s="92"/>
      <c r="YH132" s="92"/>
      <c r="YI132" s="92"/>
      <c r="YJ132" s="92"/>
      <c r="YK132" s="92"/>
      <c r="YL132" s="92"/>
      <c r="YM132" s="92"/>
      <c r="YN132" s="92"/>
      <c r="YO132" s="92"/>
      <c r="YP132" s="92"/>
      <c r="YQ132" s="92"/>
      <c r="YR132" s="92"/>
      <c r="YS132" s="92"/>
      <c r="YT132" s="92"/>
      <c r="YU132" s="92"/>
      <c r="YV132" s="92"/>
      <c r="YW132" s="92"/>
      <c r="YX132" s="92"/>
      <c r="YY132" s="92"/>
      <c r="YZ132" s="92"/>
      <c r="ZA132" s="92"/>
      <c r="ZB132" s="92"/>
      <c r="ZC132" s="92"/>
      <c r="ZD132" s="92"/>
      <c r="ZE132" s="92"/>
      <c r="ZF132" s="92"/>
      <c r="ZG132" s="92"/>
      <c r="ZH132" s="92"/>
      <c r="ZI132" s="92"/>
      <c r="ZJ132" s="92"/>
      <c r="ZK132" s="92"/>
      <c r="ZL132" s="92"/>
      <c r="ZM132" s="92"/>
      <c r="ZN132" s="92"/>
      <c r="ZO132" s="92"/>
      <c r="ZP132" s="92"/>
      <c r="ZQ132" s="92"/>
      <c r="ZR132" s="92"/>
      <c r="ZS132" s="92"/>
      <c r="ZT132" s="92"/>
      <c r="ZU132" s="92"/>
      <c r="ZV132" s="92"/>
      <c r="ZW132" s="92"/>
      <c r="ZX132" s="92"/>
      <c r="ZY132" s="92"/>
      <c r="ZZ132" s="92"/>
      <c r="AAA132" s="92"/>
      <c r="AAB132" s="92"/>
      <c r="AAC132" s="92"/>
      <c r="AAD132" s="92"/>
      <c r="AAE132" s="92"/>
      <c r="AAF132" s="92"/>
      <c r="AAG132" s="92"/>
      <c r="AAH132" s="92"/>
      <c r="AAI132" s="92"/>
      <c r="AAJ132" s="92"/>
      <c r="AAK132" s="92"/>
      <c r="AAL132" s="92"/>
      <c r="AAM132" s="92"/>
      <c r="AAN132" s="92"/>
      <c r="AAO132" s="92"/>
      <c r="AAP132" s="92"/>
      <c r="AAQ132" s="92"/>
      <c r="AAR132" s="92"/>
      <c r="AAS132" s="92"/>
      <c r="AAT132" s="92"/>
      <c r="AAU132" s="92"/>
      <c r="AAV132" s="92"/>
      <c r="AAW132" s="92"/>
      <c r="AAX132" s="92"/>
      <c r="AAY132" s="92"/>
      <c r="AAZ132" s="92"/>
      <c r="ABA132" s="92"/>
      <c r="ABB132" s="92"/>
      <c r="ABC132" s="92"/>
      <c r="ABD132" s="92"/>
      <c r="ABE132" s="92"/>
      <c r="ABF132" s="92"/>
      <c r="ABG132" s="92"/>
      <c r="ABH132" s="92"/>
      <c r="ABI132" s="92"/>
      <c r="ABJ132" s="92"/>
      <c r="ABK132" s="92"/>
      <c r="ABL132" s="92"/>
      <c r="ABM132" s="92"/>
      <c r="ABN132" s="92"/>
      <c r="ABO132" s="92"/>
      <c r="ABP132" s="92"/>
      <c r="ABQ132" s="92"/>
      <c r="ABR132" s="92"/>
      <c r="ABS132" s="92"/>
      <c r="ABT132" s="92"/>
      <c r="ABU132" s="92"/>
      <c r="ABV132" s="92"/>
      <c r="ABW132" s="92"/>
      <c r="ABX132" s="92"/>
      <c r="ABY132" s="92"/>
      <c r="ABZ132" s="92"/>
      <c r="ACA132" s="92"/>
      <c r="ACB132" s="92"/>
      <c r="ACC132" s="92"/>
      <c r="ACD132" s="92"/>
      <c r="ACE132" s="92"/>
      <c r="ACF132" s="92"/>
      <c r="ACG132" s="92"/>
      <c r="ACH132" s="92"/>
      <c r="ACI132" s="92"/>
      <c r="ACJ132" s="92"/>
      <c r="ACK132" s="92"/>
      <c r="ACL132" s="92"/>
      <c r="ACM132" s="92"/>
      <c r="ACN132" s="92"/>
      <c r="ACO132" s="92"/>
      <c r="ACP132" s="92"/>
      <c r="ACQ132" s="92"/>
      <c r="ACR132" s="92"/>
      <c r="ACS132" s="92"/>
      <c r="ACT132" s="92"/>
      <c r="ACU132" s="92"/>
      <c r="ACV132" s="92"/>
      <c r="ACW132" s="92"/>
      <c r="ACX132" s="92"/>
      <c r="ACY132" s="92"/>
      <c r="ACZ132" s="92"/>
      <c r="ADA132" s="92"/>
      <c r="ADB132" s="92"/>
      <c r="ADC132" s="92"/>
      <c r="ADD132" s="92"/>
      <c r="ADE132" s="92"/>
      <c r="ADF132" s="92"/>
      <c r="ADG132" s="92"/>
      <c r="ADH132" s="92"/>
      <c r="ADI132" s="92"/>
      <c r="ADJ132" s="92"/>
      <c r="ADK132" s="92"/>
      <c r="ADL132" s="92"/>
      <c r="ADM132" s="92"/>
      <c r="ADN132" s="92"/>
      <c r="ADO132" s="92"/>
      <c r="ADP132" s="92"/>
      <c r="ADQ132" s="92"/>
      <c r="ADR132" s="92"/>
      <c r="ADS132" s="92"/>
      <c r="ADT132" s="92"/>
      <c r="ADU132" s="92"/>
      <c r="ADV132" s="92"/>
      <c r="ADW132" s="92"/>
      <c r="ADX132" s="92"/>
      <c r="ADY132" s="92"/>
      <c r="ADZ132" s="92"/>
      <c r="AEA132" s="92"/>
      <c r="AEB132" s="92"/>
      <c r="AEC132" s="92"/>
      <c r="AED132" s="92"/>
      <c r="AEE132" s="92"/>
      <c r="AEF132" s="92"/>
      <c r="AEG132" s="92"/>
      <c r="AEH132" s="92"/>
      <c r="AEI132" s="92"/>
      <c r="AEJ132" s="92"/>
      <c r="AEK132" s="92"/>
      <c r="AEL132" s="92"/>
      <c r="AEM132" s="92"/>
      <c r="AEN132" s="92"/>
      <c r="AEO132" s="92"/>
      <c r="AEP132" s="92"/>
      <c r="AEQ132" s="92"/>
      <c r="AER132" s="92"/>
      <c r="AES132" s="92"/>
      <c r="AET132" s="92"/>
      <c r="AEU132" s="92"/>
      <c r="AEV132" s="92"/>
      <c r="AEW132" s="92"/>
      <c r="AEX132" s="92"/>
      <c r="AEY132" s="92"/>
      <c r="AEZ132" s="92"/>
      <c r="AFA132" s="92"/>
      <c r="AFB132" s="92"/>
      <c r="AFC132" s="92"/>
      <c r="AFD132" s="92"/>
      <c r="AFE132" s="92"/>
      <c r="AFF132" s="92"/>
      <c r="AFG132" s="92"/>
      <c r="AFH132" s="92"/>
      <c r="AFI132" s="92"/>
      <c r="AFJ132" s="92"/>
      <c r="AFK132" s="92"/>
      <c r="AFL132" s="92"/>
      <c r="AFM132" s="92"/>
      <c r="AFN132" s="92"/>
      <c r="AFO132" s="92"/>
      <c r="AFP132" s="92"/>
      <c r="AFQ132" s="92"/>
      <c r="AFR132" s="92"/>
      <c r="AFS132" s="92"/>
      <c r="AFT132" s="92"/>
      <c r="AFU132" s="92"/>
      <c r="AFV132" s="92"/>
      <c r="AFW132" s="92"/>
      <c r="AFX132" s="92"/>
      <c r="AFY132" s="92"/>
      <c r="AFZ132" s="92"/>
      <c r="AGA132" s="92"/>
      <c r="AGB132" s="92"/>
      <c r="AGC132" s="92"/>
      <c r="AGD132" s="92"/>
      <c r="AGE132" s="92"/>
      <c r="AGF132" s="92"/>
      <c r="AGG132" s="92"/>
      <c r="AGH132" s="92"/>
      <c r="AGI132" s="92"/>
      <c r="AGJ132" s="92"/>
      <c r="AGK132" s="92"/>
      <c r="AGL132" s="92"/>
      <c r="AGM132" s="92"/>
      <c r="AGN132" s="92"/>
      <c r="AGO132" s="92"/>
      <c r="AGP132" s="92"/>
      <c r="AGQ132" s="92"/>
      <c r="AGR132" s="92"/>
      <c r="AGS132" s="92"/>
      <c r="AGT132" s="92"/>
      <c r="AGU132" s="92"/>
      <c r="AGV132" s="92"/>
      <c r="AGW132" s="92"/>
      <c r="AGX132" s="92"/>
      <c r="AGY132" s="92"/>
      <c r="AGZ132" s="92"/>
      <c r="AHA132" s="92"/>
      <c r="AHB132" s="92"/>
      <c r="AHC132" s="92"/>
      <c r="AHD132" s="92"/>
      <c r="AHE132" s="92"/>
      <c r="AHF132" s="92"/>
      <c r="AHG132" s="92"/>
      <c r="AHH132" s="92"/>
      <c r="AHI132" s="92"/>
      <c r="AHJ132" s="92"/>
      <c r="AHK132" s="92"/>
      <c r="AHL132" s="92"/>
      <c r="AHM132" s="92"/>
      <c r="AHN132" s="92"/>
      <c r="AHO132" s="92"/>
      <c r="AHP132" s="92"/>
      <c r="AHQ132" s="92"/>
      <c r="AHR132" s="92"/>
      <c r="AHS132" s="92"/>
      <c r="AHT132" s="92"/>
      <c r="AHU132" s="92"/>
      <c r="AHV132" s="92"/>
      <c r="AHW132" s="92"/>
      <c r="AHX132" s="92"/>
      <c r="AHY132" s="92"/>
      <c r="AHZ132" s="92"/>
      <c r="AIA132" s="92"/>
      <c r="AIB132" s="92"/>
      <c r="AIC132" s="92"/>
      <c r="AID132" s="92"/>
      <c r="AIE132" s="92"/>
      <c r="AIF132" s="92"/>
      <c r="AIG132" s="92"/>
      <c r="AIH132" s="92"/>
      <c r="AII132" s="92"/>
      <c r="AIJ132" s="92"/>
      <c r="AIK132" s="92"/>
      <c r="AIL132" s="92"/>
      <c r="AIM132" s="92"/>
      <c r="AIN132" s="92"/>
      <c r="AIO132" s="92"/>
      <c r="AIP132" s="92"/>
      <c r="AIQ132" s="92"/>
      <c r="AIR132" s="92"/>
      <c r="AIS132" s="92"/>
      <c r="AIT132" s="92"/>
      <c r="AIU132" s="92"/>
      <c r="AIV132" s="92"/>
      <c r="AIW132" s="92"/>
      <c r="AIX132" s="92"/>
      <c r="AIY132" s="92"/>
      <c r="AIZ132" s="92"/>
      <c r="AJA132" s="92"/>
      <c r="AJB132" s="92"/>
      <c r="AJC132" s="92"/>
      <c r="AJD132" s="92"/>
      <c r="AJE132" s="92"/>
      <c r="AJF132" s="92"/>
      <c r="AJG132" s="92"/>
      <c r="AJH132" s="92"/>
      <c r="AJI132" s="92"/>
      <c r="AJJ132" s="92"/>
      <c r="AJK132" s="92"/>
      <c r="AJL132" s="92"/>
      <c r="AJM132" s="92"/>
      <c r="AJN132" s="92"/>
      <c r="AJO132" s="92"/>
      <c r="AJP132" s="92"/>
      <c r="AJQ132" s="92"/>
      <c r="AJR132" s="92"/>
      <c r="AJS132" s="92"/>
      <c r="AJT132" s="92"/>
      <c r="AJU132" s="92"/>
      <c r="AJV132" s="92"/>
      <c r="AJW132" s="92"/>
      <c r="AJX132" s="92"/>
      <c r="AJY132" s="92"/>
      <c r="AJZ132" s="92"/>
      <c r="AKA132" s="92"/>
      <c r="AKB132" s="92"/>
      <c r="AKC132" s="92"/>
      <c r="AKD132" s="92"/>
      <c r="AKE132" s="92"/>
      <c r="AKF132" s="92"/>
      <c r="AKG132" s="92"/>
      <c r="AKH132" s="92"/>
      <c r="AKI132" s="92"/>
      <c r="AKJ132" s="92"/>
      <c r="AKK132" s="92"/>
      <c r="AKL132" s="92"/>
      <c r="AKM132" s="92"/>
      <c r="AKN132" s="92"/>
      <c r="AKO132" s="92"/>
      <c r="AKP132" s="92"/>
      <c r="AKQ132" s="92"/>
      <c r="AKR132" s="92"/>
      <c r="AKS132" s="92"/>
      <c r="AKT132" s="92"/>
      <c r="AKU132" s="92"/>
      <c r="AKV132" s="92"/>
      <c r="AKW132" s="92"/>
      <c r="AKX132" s="92"/>
      <c r="AKY132" s="92"/>
      <c r="AKZ132" s="92"/>
      <c r="ALA132" s="92"/>
      <c r="ALB132" s="92"/>
      <c r="ALC132" s="92"/>
      <c r="ALD132" s="92"/>
      <c r="ALE132" s="92"/>
      <c r="ALF132" s="92"/>
      <c r="ALG132" s="92"/>
      <c r="ALH132" s="92"/>
      <c r="ALI132" s="92"/>
      <c r="ALJ132" s="92"/>
      <c r="ALK132" s="92"/>
      <c r="ALL132" s="92"/>
      <c r="ALM132" s="92"/>
      <c r="ALN132" s="92"/>
      <c r="ALO132" s="92"/>
      <c r="ALP132" s="92"/>
      <c r="ALQ132" s="92"/>
      <c r="ALR132" s="92"/>
      <c r="ALS132" s="92"/>
      <c r="ALT132" s="92"/>
      <c r="ALU132" s="92"/>
      <c r="ALV132" s="92"/>
      <c r="ALW132" s="92"/>
      <c r="ALX132" s="92"/>
      <c r="ALY132" s="92"/>
      <c r="ALZ132" s="92"/>
      <c r="AMA132" s="92"/>
      <c r="AMB132" s="92"/>
      <c r="AMC132" s="92"/>
      <c r="AMD132" s="92"/>
      <c r="AME132" s="92"/>
      <c r="AMF132" s="92"/>
      <c r="AMG132" s="92"/>
      <c r="AMH132" s="92"/>
      <c r="AMI132" s="92"/>
      <c r="AMJ132" s="92"/>
      <c r="AMK132" s="92"/>
      <c r="AML132" s="92"/>
      <c r="AMM132" s="92"/>
      <c r="AMN132" s="92"/>
      <c r="AMO132" s="92"/>
      <c r="AMP132" s="92"/>
      <c r="AMQ132" s="92"/>
      <c r="AMR132" s="92"/>
      <c r="AMS132" s="92"/>
      <c r="AMT132" s="92"/>
      <c r="AMU132" s="92"/>
      <c r="AMV132" s="92"/>
      <c r="AMW132" s="92"/>
      <c r="AMX132" s="92"/>
    </row>
    <row r="133" spans="1:1038" ht="14.65" customHeight="1" x14ac:dyDescent="0.4">
      <c r="A133" s="16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41"/>
      <c r="O133" s="41"/>
      <c r="P133" s="41"/>
      <c r="Q133" s="41"/>
      <c r="R133" s="41"/>
      <c r="S133" s="41"/>
      <c r="T133" s="41"/>
      <c r="U133" s="41"/>
      <c r="V133" s="92"/>
      <c r="W133" s="92"/>
      <c r="X133" s="92"/>
      <c r="Y133" s="92"/>
      <c r="Z133" s="92"/>
      <c r="AA133" s="92"/>
      <c r="AB133" s="92"/>
      <c r="AC133" s="92"/>
      <c r="AD133" s="92"/>
      <c r="AE133" s="92"/>
      <c r="AF133" s="92"/>
      <c r="AG133" s="92"/>
      <c r="AH133" s="92"/>
      <c r="AI133" s="92"/>
      <c r="AJ133" s="92"/>
      <c r="AK133" s="92"/>
      <c r="AL133" s="92"/>
      <c r="AM133" s="92"/>
      <c r="AN133" s="92"/>
      <c r="AO133" s="92"/>
      <c r="AP133" s="92"/>
      <c r="AQ133" s="92"/>
      <c r="AR133" s="92"/>
      <c r="AS133" s="92"/>
      <c r="AT133" s="92"/>
      <c r="AU133" s="92"/>
      <c r="AV133" s="92"/>
      <c r="AW133" s="92"/>
      <c r="AX133" s="92"/>
      <c r="AY133" s="92"/>
      <c r="AZ133" s="92"/>
      <c r="BA133" s="92"/>
      <c r="BB133" s="92"/>
      <c r="BC133" s="92"/>
      <c r="BD133" s="92"/>
      <c r="BE133" s="92"/>
      <c r="BF133" s="92"/>
      <c r="BG133" s="92"/>
      <c r="BH133" s="92"/>
      <c r="BI133" s="92"/>
      <c r="BJ133" s="92"/>
      <c r="BK133" s="92"/>
      <c r="BL133" s="92"/>
      <c r="BM133" s="92"/>
      <c r="BN133" s="92"/>
      <c r="BO133" s="92"/>
      <c r="BP133" s="92"/>
      <c r="BQ133" s="92"/>
      <c r="BR133" s="92"/>
      <c r="BS133" s="92"/>
      <c r="BT133" s="92"/>
      <c r="BU133" s="92"/>
      <c r="BV133" s="92"/>
      <c r="BW133" s="92"/>
      <c r="BX133" s="92"/>
      <c r="BY133" s="92"/>
      <c r="BZ133" s="92"/>
      <c r="CA133" s="92"/>
      <c r="CB133" s="92"/>
      <c r="CC133" s="92"/>
      <c r="CD133" s="92"/>
      <c r="CE133" s="92"/>
      <c r="CF133" s="92"/>
      <c r="CG133" s="92"/>
      <c r="CH133" s="92"/>
      <c r="CI133" s="92"/>
      <c r="CJ133" s="92"/>
      <c r="CK133" s="92"/>
      <c r="CL133" s="92"/>
      <c r="CM133" s="92"/>
      <c r="CN133" s="92"/>
      <c r="CO133" s="92"/>
      <c r="CP133" s="92"/>
      <c r="CQ133" s="92"/>
      <c r="CR133" s="92"/>
      <c r="CS133" s="92"/>
      <c r="CT133" s="92"/>
      <c r="CU133" s="92"/>
      <c r="CV133" s="92"/>
      <c r="CW133" s="92"/>
      <c r="CX133" s="92"/>
      <c r="CY133" s="92"/>
      <c r="CZ133" s="92"/>
      <c r="DA133" s="92"/>
      <c r="DB133" s="92"/>
      <c r="DC133" s="92"/>
      <c r="DD133" s="92"/>
      <c r="DE133" s="92"/>
      <c r="DF133" s="92"/>
      <c r="DG133" s="92"/>
      <c r="DH133" s="92"/>
      <c r="DI133" s="92"/>
      <c r="DJ133" s="92"/>
      <c r="DK133" s="92"/>
      <c r="DL133" s="92"/>
      <c r="DM133" s="92"/>
      <c r="DN133" s="92"/>
      <c r="DO133" s="92"/>
      <c r="DP133" s="92"/>
      <c r="DQ133" s="92"/>
      <c r="DR133" s="92"/>
      <c r="DS133" s="92"/>
      <c r="DT133" s="92"/>
      <c r="DU133" s="92"/>
      <c r="DV133" s="92"/>
      <c r="DW133" s="92"/>
      <c r="DX133" s="92"/>
      <c r="DY133" s="92"/>
      <c r="DZ133" s="92"/>
      <c r="EA133" s="92"/>
      <c r="EB133" s="92"/>
      <c r="EC133" s="92"/>
      <c r="ED133" s="92"/>
      <c r="EE133" s="92"/>
      <c r="EF133" s="92"/>
      <c r="EG133" s="92"/>
      <c r="EH133" s="92"/>
      <c r="EI133" s="92"/>
      <c r="EJ133" s="92"/>
      <c r="EK133" s="92"/>
      <c r="EL133" s="92"/>
      <c r="EM133" s="92"/>
      <c r="EN133" s="92"/>
      <c r="EO133" s="92"/>
      <c r="EP133" s="92"/>
      <c r="EQ133" s="92"/>
      <c r="ER133" s="92"/>
      <c r="ES133" s="92"/>
      <c r="ET133" s="92"/>
      <c r="EU133" s="92"/>
      <c r="EV133" s="92"/>
      <c r="EW133" s="92"/>
      <c r="EX133" s="92"/>
      <c r="EY133" s="92"/>
      <c r="EZ133" s="92"/>
      <c r="FA133" s="92"/>
      <c r="FB133" s="92"/>
      <c r="FC133" s="92"/>
      <c r="FD133" s="92"/>
      <c r="FE133" s="92"/>
      <c r="FF133" s="92"/>
      <c r="FG133" s="92"/>
      <c r="FH133" s="92"/>
      <c r="FI133" s="92"/>
      <c r="FJ133" s="92"/>
      <c r="FK133" s="92"/>
      <c r="FL133" s="92"/>
      <c r="FM133" s="92"/>
      <c r="FN133" s="92"/>
      <c r="FO133" s="92"/>
      <c r="FP133" s="92"/>
      <c r="FQ133" s="92"/>
      <c r="FR133" s="92"/>
      <c r="FS133" s="92"/>
      <c r="FT133" s="92"/>
      <c r="FU133" s="92"/>
      <c r="FV133" s="92"/>
      <c r="FW133" s="92"/>
      <c r="FX133" s="92"/>
      <c r="FY133" s="92"/>
      <c r="FZ133" s="92"/>
      <c r="GA133" s="92"/>
      <c r="GB133" s="92"/>
      <c r="GC133" s="92"/>
      <c r="GD133" s="92"/>
      <c r="GE133" s="92"/>
      <c r="GF133" s="92"/>
      <c r="GG133" s="92"/>
      <c r="GH133" s="92"/>
      <c r="GI133" s="92"/>
      <c r="GJ133" s="92"/>
      <c r="GK133" s="92"/>
      <c r="GL133" s="92"/>
      <c r="GM133" s="92"/>
      <c r="GN133" s="92"/>
      <c r="GO133" s="92"/>
      <c r="GP133" s="92"/>
      <c r="GQ133" s="92"/>
      <c r="GR133" s="92"/>
      <c r="GS133" s="92"/>
      <c r="GT133" s="92"/>
      <c r="GU133" s="92"/>
      <c r="GV133" s="92"/>
      <c r="GW133" s="92"/>
      <c r="GX133" s="92"/>
      <c r="GY133" s="92"/>
      <c r="GZ133" s="92"/>
      <c r="HA133" s="92"/>
      <c r="HB133" s="92"/>
      <c r="HC133" s="92"/>
      <c r="HD133" s="92"/>
      <c r="HE133" s="92"/>
      <c r="HF133" s="92"/>
      <c r="HG133" s="92"/>
      <c r="HH133" s="92"/>
      <c r="HI133" s="92"/>
      <c r="HJ133" s="92"/>
      <c r="HK133" s="92"/>
      <c r="HL133" s="92"/>
      <c r="HM133" s="92"/>
      <c r="HN133" s="92"/>
      <c r="HO133" s="92"/>
      <c r="HP133" s="92"/>
      <c r="HQ133" s="92"/>
      <c r="HR133" s="92"/>
      <c r="HS133" s="92"/>
      <c r="HT133" s="92"/>
      <c r="HU133" s="92"/>
      <c r="HV133" s="92"/>
      <c r="HW133" s="92"/>
      <c r="HX133" s="92"/>
      <c r="HY133" s="92"/>
      <c r="HZ133" s="92"/>
      <c r="IA133" s="92"/>
      <c r="IB133" s="92"/>
      <c r="IC133" s="92"/>
      <c r="ID133" s="92"/>
      <c r="IE133" s="92"/>
      <c r="IF133" s="92"/>
      <c r="IG133" s="92"/>
      <c r="IH133" s="92"/>
      <c r="II133" s="92"/>
      <c r="IJ133" s="92"/>
      <c r="IK133" s="92"/>
      <c r="IL133" s="92"/>
      <c r="IM133" s="92"/>
      <c r="IN133" s="92"/>
      <c r="IO133" s="92"/>
      <c r="IP133" s="92"/>
      <c r="IQ133" s="92"/>
      <c r="IR133" s="92"/>
      <c r="IS133" s="92"/>
      <c r="IT133" s="92"/>
      <c r="IU133" s="92"/>
      <c r="IV133" s="92"/>
      <c r="IW133" s="92"/>
      <c r="IX133" s="92"/>
      <c r="IY133" s="92"/>
      <c r="IZ133" s="92"/>
      <c r="JA133" s="92"/>
      <c r="JB133" s="92"/>
      <c r="JC133" s="92"/>
      <c r="JD133" s="92"/>
      <c r="JE133" s="92"/>
      <c r="JF133" s="92"/>
      <c r="JG133" s="92"/>
      <c r="JH133" s="92"/>
      <c r="JI133" s="92"/>
      <c r="JJ133" s="92"/>
      <c r="JK133" s="92"/>
      <c r="JL133" s="92"/>
      <c r="JM133" s="92"/>
      <c r="JN133" s="92"/>
      <c r="JO133" s="92"/>
      <c r="JP133" s="92"/>
      <c r="JQ133" s="92"/>
      <c r="JR133" s="92"/>
      <c r="JS133" s="92"/>
      <c r="JT133" s="92"/>
      <c r="JU133" s="92"/>
      <c r="JV133" s="92"/>
      <c r="JW133" s="92"/>
      <c r="JX133" s="92"/>
      <c r="JY133" s="92"/>
      <c r="JZ133" s="92"/>
      <c r="KA133" s="92"/>
      <c r="KB133" s="92"/>
      <c r="KC133" s="92"/>
      <c r="KD133" s="92"/>
      <c r="KE133" s="92"/>
      <c r="KF133" s="92"/>
      <c r="KG133" s="92"/>
      <c r="KH133" s="92"/>
      <c r="KI133" s="92"/>
      <c r="KJ133" s="92"/>
      <c r="KK133" s="92"/>
      <c r="KL133" s="92"/>
      <c r="KM133" s="92"/>
      <c r="KN133" s="92"/>
      <c r="KO133" s="92"/>
      <c r="KP133" s="92"/>
      <c r="KQ133" s="92"/>
      <c r="KR133" s="92"/>
      <c r="KS133" s="92"/>
      <c r="KT133" s="92"/>
      <c r="KU133" s="92"/>
      <c r="KV133" s="92"/>
      <c r="KW133" s="92"/>
      <c r="KX133" s="92"/>
      <c r="KY133" s="92"/>
      <c r="KZ133" s="92"/>
      <c r="LA133" s="92"/>
      <c r="LB133" s="92"/>
      <c r="LC133" s="92"/>
      <c r="LD133" s="92"/>
      <c r="LE133" s="92"/>
      <c r="LF133" s="92"/>
      <c r="LG133" s="92"/>
      <c r="LH133" s="92"/>
      <c r="LI133" s="92"/>
      <c r="LJ133" s="92"/>
      <c r="LK133" s="92"/>
      <c r="LL133" s="92"/>
      <c r="LM133" s="92"/>
      <c r="LN133" s="92"/>
      <c r="LO133" s="92"/>
      <c r="LP133" s="92"/>
      <c r="LQ133" s="92"/>
      <c r="LR133" s="92"/>
      <c r="LS133" s="92"/>
      <c r="LT133" s="92"/>
      <c r="LU133" s="92"/>
      <c r="LV133" s="92"/>
      <c r="LW133" s="92"/>
      <c r="LX133" s="92"/>
      <c r="LY133" s="92"/>
      <c r="LZ133" s="92"/>
      <c r="MA133" s="92"/>
      <c r="MB133" s="92"/>
      <c r="MC133" s="92"/>
      <c r="MD133" s="92"/>
      <c r="ME133" s="92"/>
      <c r="MF133" s="92"/>
      <c r="MG133" s="92"/>
      <c r="MH133" s="92"/>
      <c r="MI133" s="92"/>
      <c r="MJ133" s="92"/>
      <c r="MK133" s="92"/>
      <c r="ML133" s="92"/>
      <c r="MM133" s="92"/>
      <c r="MN133" s="92"/>
      <c r="MO133" s="92"/>
      <c r="MP133" s="92"/>
      <c r="MQ133" s="92"/>
      <c r="MR133" s="92"/>
      <c r="MS133" s="92"/>
      <c r="MT133" s="92"/>
      <c r="MU133" s="92"/>
      <c r="MV133" s="92"/>
      <c r="MW133" s="92"/>
      <c r="MX133" s="92"/>
      <c r="MY133" s="92"/>
      <c r="MZ133" s="92"/>
      <c r="NA133" s="92"/>
      <c r="NB133" s="92"/>
      <c r="NC133" s="92"/>
      <c r="ND133" s="92"/>
      <c r="NE133" s="92"/>
      <c r="NF133" s="92"/>
      <c r="NG133" s="92"/>
      <c r="NH133" s="92"/>
      <c r="NI133" s="92"/>
      <c r="NJ133" s="92"/>
      <c r="NK133" s="92"/>
      <c r="NL133" s="92"/>
      <c r="NM133" s="92"/>
      <c r="NN133" s="92"/>
      <c r="NO133" s="92"/>
      <c r="NP133" s="92"/>
      <c r="NQ133" s="92"/>
      <c r="NR133" s="92"/>
      <c r="NS133" s="92"/>
      <c r="NT133" s="92"/>
      <c r="NU133" s="92"/>
      <c r="NV133" s="92"/>
      <c r="NW133" s="92"/>
      <c r="NX133" s="92"/>
      <c r="NY133" s="92"/>
      <c r="NZ133" s="92"/>
      <c r="OA133" s="92"/>
      <c r="OB133" s="92"/>
      <c r="OC133" s="92"/>
      <c r="OD133" s="92"/>
      <c r="OE133" s="92"/>
      <c r="OF133" s="92"/>
      <c r="OG133" s="92"/>
      <c r="OH133" s="92"/>
      <c r="OI133" s="92"/>
      <c r="OJ133" s="92"/>
      <c r="OK133" s="92"/>
      <c r="OL133" s="92"/>
      <c r="OM133" s="92"/>
      <c r="ON133" s="92"/>
      <c r="OO133" s="92"/>
      <c r="OP133" s="92"/>
      <c r="OQ133" s="92"/>
      <c r="OR133" s="92"/>
      <c r="OS133" s="92"/>
      <c r="OT133" s="92"/>
      <c r="OU133" s="92"/>
      <c r="OV133" s="92"/>
      <c r="OW133" s="92"/>
      <c r="OX133" s="92"/>
      <c r="OY133" s="92"/>
      <c r="OZ133" s="92"/>
      <c r="PA133" s="92"/>
      <c r="PB133" s="92"/>
      <c r="PC133" s="92"/>
      <c r="PD133" s="92"/>
      <c r="PE133" s="92"/>
      <c r="PF133" s="92"/>
      <c r="PG133" s="92"/>
      <c r="PH133" s="92"/>
      <c r="PI133" s="92"/>
      <c r="PJ133" s="92"/>
      <c r="PK133" s="92"/>
      <c r="PL133" s="92"/>
      <c r="PM133" s="92"/>
      <c r="PN133" s="92"/>
      <c r="PO133" s="92"/>
      <c r="PP133" s="92"/>
      <c r="PQ133" s="92"/>
      <c r="PR133" s="92"/>
      <c r="PS133" s="92"/>
      <c r="PT133" s="92"/>
      <c r="PU133" s="92"/>
      <c r="PV133" s="92"/>
      <c r="PW133" s="92"/>
      <c r="PX133" s="92"/>
      <c r="PY133" s="92"/>
      <c r="PZ133" s="92"/>
      <c r="QA133" s="92"/>
      <c r="QB133" s="92"/>
      <c r="QC133" s="92"/>
      <c r="QD133" s="92"/>
      <c r="QE133" s="92"/>
      <c r="QF133" s="92"/>
      <c r="QG133" s="92"/>
      <c r="QH133" s="92"/>
      <c r="QI133" s="92"/>
      <c r="QJ133" s="92"/>
      <c r="QK133" s="92"/>
      <c r="QL133" s="92"/>
      <c r="QM133" s="92"/>
      <c r="QN133" s="92"/>
      <c r="QO133" s="92"/>
      <c r="QP133" s="92"/>
      <c r="QQ133" s="92"/>
      <c r="QR133" s="92"/>
      <c r="QS133" s="92"/>
      <c r="QT133" s="92"/>
      <c r="QU133" s="92"/>
      <c r="QV133" s="92"/>
      <c r="QW133" s="92"/>
      <c r="QX133" s="92"/>
      <c r="QY133" s="92"/>
      <c r="QZ133" s="92"/>
      <c r="RA133" s="92"/>
      <c r="RB133" s="92"/>
      <c r="RC133" s="92"/>
      <c r="RD133" s="92"/>
      <c r="RE133" s="92"/>
      <c r="RF133" s="92"/>
      <c r="RG133" s="92"/>
      <c r="RH133" s="92"/>
      <c r="RI133" s="92"/>
      <c r="RJ133" s="92"/>
      <c r="RK133" s="92"/>
      <c r="RL133" s="92"/>
      <c r="RM133" s="92"/>
      <c r="RN133" s="92"/>
      <c r="RO133" s="92"/>
      <c r="RP133" s="92"/>
      <c r="RQ133" s="92"/>
      <c r="RR133" s="92"/>
      <c r="RS133" s="92"/>
      <c r="RT133" s="92"/>
      <c r="RU133" s="92"/>
      <c r="RV133" s="92"/>
      <c r="RW133" s="92"/>
      <c r="RX133" s="92"/>
      <c r="RY133" s="92"/>
      <c r="RZ133" s="92"/>
      <c r="SA133" s="92"/>
      <c r="SB133" s="92"/>
      <c r="SC133" s="92"/>
      <c r="SD133" s="92"/>
      <c r="SE133" s="92"/>
      <c r="SF133" s="92"/>
      <c r="SG133" s="92"/>
      <c r="SH133" s="92"/>
      <c r="SI133" s="92"/>
      <c r="SJ133" s="92"/>
      <c r="SK133" s="92"/>
      <c r="SL133" s="92"/>
      <c r="SM133" s="92"/>
      <c r="SN133" s="92"/>
      <c r="SO133" s="92"/>
      <c r="SP133" s="92"/>
      <c r="SQ133" s="92"/>
      <c r="SR133" s="92"/>
      <c r="SS133" s="92"/>
      <c r="ST133" s="92"/>
      <c r="SU133" s="92"/>
      <c r="SV133" s="92"/>
      <c r="SW133" s="92"/>
      <c r="SX133" s="92"/>
      <c r="SY133" s="92"/>
      <c r="SZ133" s="92"/>
      <c r="TA133" s="92"/>
      <c r="TB133" s="92"/>
      <c r="TC133" s="92"/>
      <c r="TD133" s="92"/>
      <c r="TE133" s="92"/>
      <c r="TF133" s="92"/>
      <c r="TG133" s="92"/>
      <c r="TH133" s="92"/>
      <c r="TI133" s="92"/>
      <c r="TJ133" s="92"/>
      <c r="TK133" s="92"/>
      <c r="TL133" s="92"/>
      <c r="TM133" s="92"/>
      <c r="TN133" s="92"/>
      <c r="TO133" s="92"/>
      <c r="TP133" s="92"/>
      <c r="TQ133" s="92"/>
      <c r="TR133" s="92"/>
      <c r="TS133" s="92"/>
      <c r="TT133" s="92"/>
      <c r="TU133" s="92"/>
      <c r="TV133" s="92"/>
      <c r="TW133" s="92"/>
      <c r="TX133" s="92"/>
      <c r="TY133" s="92"/>
      <c r="TZ133" s="92"/>
      <c r="UA133" s="92"/>
      <c r="UB133" s="92"/>
      <c r="UC133" s="92"/>
      <c r="UD133" s="92"/>
      <c r="UE133" s="92"/>
      <c r="UF133" s="92"/>
      <c r="UG133" s="92"/>
      <c r="UH133" s="92"/>
      <c r="UI133" s="92"/>
      <c r="UJ133" s="92"/>
      <c r="UK133" s="92"/>
      <c r="UL133" s="92"/>
      <c r="UM133" s="92"/>
      <c r="UN133" s="92"/>
      <c r="UO133" s="92"/>
      <c r="UP133" s="92"/>
      <c r="UQ133" s="92"/>
      <c r="UR133" s="92"/>
      <c r="US133" s="92"/>
      <c r="UT133" s="92"/>
      <c r="UU133" s="92"/>
      <c r="UV133" s="92"/>
      <c r="UW133" s="92"/>
      <c r="UX133" s="92"/>
      <c r="UY133" s="92"/>
      <c r="UZ133" s="92"/>
      <c r="VA133" s="92"/>
      <c r="VB133" s="92"/>
      <c r="VC133" s="92"/>
      <c r="VD133" s="92"/>
      <c r="VE133" s="92"/>
      <c r="VF133" s="92"/>
      <c r="VG133" s="92"/>
      <c r="VH133" s="92"/>
      <c r="VI133" s="92"/>
      <c r="VJ133" s="92"/>
      <c r="VK133" s="92"/>
      <c r="VL133" s="92"/>
      <c r="VM133" s="92"/>
      <c r="VN133" s="92"/>
      <c r="VO133" s="92"/>
      <c r="VP133" s="92"/>
      <c r="VQ133" s="92"/>
      <c r="VR133" s="92"/>
      <c r="VS133" s="92"/>
      <c r="VT133" s="92"/>
      <c r="VU133" s="92"/>
      <c r="VV133" s="92"/>
      <c r="VW133" s="92"/>
      <c r="VX133" s="92"/>
      <c r="VY133" s="92"/>
      <c r="VZ133" s="92"/>
      <c r="WA133" s="92"/>
      <c r="WB133" s="92"/>
      <c r="WC133" s="92"/>
      <c r="WD133" s="92"/>
      <c r="WE133" s="92"/>
      <c r="WF133" s="92"/>
      <c r="WG133" s="92"/>
      <c r="WH133" s="92"/>
      <c r="WI133" s="92"/>
      <c r="WJ133" s="92"/>
      <c r="WK133" s="92"/>
      <c r="WL133" s="92"/>
      <c r="WM133" s="92"/>
      <c r="WN133" s="92"/>
      <c r="WO133" s="92"/>
      <c r="WP133" s="92"/>
      <c r="WQ133" s="92"/>
      <c r="WR133" s="92"/>
      <c r="WS133" s="92"/>
      <c r="WT133" s="92"/>
      <c r="WU133" s="92"/>
      <c r="WV133" s="92"/>
      <c r="WW133" s="92"/>
      <c r="WX133" s="92"/>
      <c r="WY133" s="92"/>
      <c r="WZ133" s="92"/>
      <c r="XA133" s="92"/>
      <c r="XB133" s="92"/>
      <c r="XC133" s="92"/>
      <c r="XD133" s="92"/>
      <c r="XE133" s="92"/>
      <c r="XF133" s="92"/>
      <c r="XG133" s="92"/>
      <c r="XH133" s="92"/>
      <c r="XI133" s="92"/>
      <c r="XJ133" s="92"/>
      <c r="XK133" s="92"/>
      <c r="XL133" s="92"/>
      <c r="XM133" s="92"/>
      <c r="XN133" s="92"/>
      <c r="XO133" s="92"/>
      <c r="XP133" s="92"/>
      <c r="XQ133" s="92"/>
      <c r="XR133" s="92"/>
      <c r="XS133" s="92"/>
      <c r="XT133" s="92"/>
      <c r="XU133" s="92"/>
      <c r="XV133" s="92"/>
      <c r="XW133" s="92"/>
      <c r="XX133" s="92"/>
      <c r="XY133" s="92"/>
      <c r="XZ133" s="92"/>
      <c r="YA133" s="92"/>
      <c r="YB133" s="92"/>
      <c r="YC133" s="92"/>
      <c r="YD133" s="92"/>
      <c r="YE133" s="92"/>
      <c r="YF133" s="92"/>
      <c r="YG133" s="92"/>
      <c r="YH133" s="92"/>
      <c r="YI133" s="92"/>
      <c r="YJ133" s="92"/>
      <c r="YK133" s="92"/>
      <c r="YL133" s="92"/>
      <c r="YM133" s="92"/>
      <c r="YN133" s="92"/>
      <c r="YO133" s="92"/>
      <c r="YP133" s="92"/>
      <c r="YQ133" s="92"/>
      <c r="YR133" s="92"/>
      <c r="YS133" s="92"/>
      <c r="YT133" s="92"/>
      <c r="YU133" s="92"/>
      <c r="YV133" s="92"/>
      <c r="YW133" s="92"/>
      <c r="YX133" s="92"/>
      <c r="YY133" s="92"/>
      <c r="YZ133" s="92"/>
      <c r="ZA133" s="92"/>
      <c r="ZB133" s="92"/>
      <c r="ZC133" s="92"/>
      <c r="ZD133" s="92"/>
      <c r="ZE133" s="92"/>
      <c r="ZF133" s="92"/>
      <c r="ZG133" s="92"/>
      <c r="ZH133" s="92"/>
      <c r="ZI133" s="92"/>
      <c r="ZJ133" s="92"/>
      <c r="ZK133" s="92"/>
      <c r="ZL133" s="92"/>
      <c r="ZM133" s="92"/>
      <c r="ZN133" s="92"/>
      <c r="ZO133" s="92"/>
      <c r="ZP133" s="92"/>
      <c r="ZQ133" s="92"/>
      <c r="ZR133" s="92"/>
      <c r="ZS133" s="92"/>
      <c r="ZT133" s="92"/>
      <c r="ZU133" s="92"/>
      <c r="ZV133" s="92"/>
      <c r="ZW133" s="92"/>
      <c r="ZX133" s="92"/>
      <c r="ZY133" s="92"/>
      <c r="ZZ133" s="92"/>
      <c r="AAA133" s="92"/>
      <c r="AAB133" s="92"/>
      <c r="AAC133" s="92"/>
      <c r="AAD133" s="92"/>
      <c r="AAE133" s="92"/>
      <c r="AAF133" s="92"/>
      <c r="AAG133" s="92"/>
      <c r="AAH133" s="92"/>
      <c r="AAI133" s="92"/>
      <c r="AAJ133" s="92"/>
      <c r="AAK133" s="92"/>
      <c r="AAL133" s="92"/>
      <c r="AAM133" s="92"/>
      <c r="AAN133" s="92"/>
      <c r="AAO133" s="92"/>
      <c r="AAP133" s="92"/>
      <c r="AAQ133" s="92"/>
      <c r="AAR133" s="92"/>
      <c r="AAS133" s="92"/>
      <c r="AAT133" s="92"/>
      <c r="AAU133" s="92"/>
      <c r="AAV133" s="92"/>
      <c r="AAW133" s="92"/>
      <c r="AAX133" s="92"/>
      <c r="AAY133" s="92"/>
      <c r="AAZ133" s="92"/>
      <c r="ABA133" s="92"/>
      <c r="ABB133" s="92"/>
      <c r="ABC133" s="92"/>
      <c r="ABD133" s="92"/>
      <c r="ABE133" s="92"/>
      <c r="ABF133" s="92"/>
      <c r="ABG133" s="92"/>
      <c r="ABH133" s="92"/>
      <c r="ABI133" s="92"/>
      <c r="ABJ133" s="92"/>
      <c r="ABK133" s="92"/>
      <c r="ABL133" s="92"/>
      <c r="ABM133" s="92"/>
      <c r="ABN133" s="92"/>
      <c r="ABO133" s="92"/>
      <c r="ABP133" s="92"/>
      <c r="ABQ133" s="92"/>
      <c r="ABR133" s="92"/>
      <c r="ABS133" s="92"/>
      <c r="ABT133" s="92"/>
      <c r="ABU133" s="92"/>
      <c r="ABV133" s="92"/>
      <c r="ABW133" s="92"/>
      <c r="ABX133" s="92"/>
      <c r="ABY133" s="92"/>
      <c r="ABZ133" s="92"/>
      <c r="ACA133" s="92"/>
      <c r="ACB133" s="92"/>
      <c r="ACC133" s="92"/>
      <c r="ACD133" s="92"/>
      <c r="ACE133" s="92"/>
      <c r="ACF133" s="92"/>
      <c r="ACG133" s="92"/>
      <c r="ACH133" s="92"/>
      <c r="ACI133" s="92"/>
      <c r="ACJ133" s="92"/>
      <c r="ACK133" s="92"/>
      <c r="ACL133" s="92"/>
      <c r="ACM133" s="92"/>
      <c r="ACN133" s="92"/>
      <c r="ACO133" s="92"/>
      <c r="ACP133" s="92"/>
      <c r="ACQ133" s="92"/>
      <c r="ACR133" s="92"/>
      <c r="ACS133" s="92"/>
      <c r="ACT133" s="92"/>
      <c r="ACU133" s="92"/>
      <c r="ACV133" s="92"/>
      <c r="ACW133" s="92"/>
      <c r="ACX133" s="92"/>
      <c r="ACY133" s="92"/>
      <c r="ACZ133" s="92"/>
      <c r="ADA133" s="92"/>
      <c r="ADB133" s="92"/>
      <c r="ADC133" s="92"/>
      <c r="ADD133" s="92"/>
      <c r="ADE133" s="92"/>
      <c r="ADF133" s="92"/>
      <c r="ADG133" s="92"/>
      <c r="ADH133" s="92"/>
      <c r="ADI133" s="92"/>
      <c r="ADJ133" s="92"/>
      <c r="ADK133" s="92"/>
      <c r="ADL133" s="92"/>
      <c r="ADM133" s="92"/>
      <c r="ADN133" s="92"/>
      <c r="ADO133" s="92"/>
      <c r="ADP133" s="92"/>
      <c r="ADQ133" s="92"/>
      <c r="ADR133" s="92"/>
      <c r="ADS133" s="92"/>
      <c r="ADT133" s="92"/>
      <c r="ADU133" s="92"/>
      <c r="ADV133" s="92"/>
      <c r="ADW133" s="92"/>
      <c r="ADX133" s="92"/>
      <c r="ADY133" s="92"/>
      <c r="ADZ133" s="92"/>
      <c r="AEA133" s="92"/>
      <c r="AEB133" s="92"/>
      <c r="AEC133" s="92"/>
      <c r="AED133" s="92"/>
      <c r="AEE133" s="92"/>
      <c r="AEF133" s="92"/>
      <c r="AEG133" s="92"/>
      <c r="AEH133" s="92"/>
      <c r="AEI133" s="92"/>
      <c r="AEJ133" s="92"/>
      <c r="AEK133" s="92"/>
      <c r="AEL133" s="92"/>
      <c r="AEM133" s="92"/>
      <c r="AEN133" s="92"/>
      <c r="AEO133" s="92"/>
      <c r="AEP133" s="92"/>
      <c r="AEQ133" s="92"/>
      <c r="AER133" s="92"/>
      <c r="AES133" s="92"/>
      <c r="AET133" s="92"/>
      <c r="AEU133" s="92"/>
      <c r="AEV133" s="92"/>
      <c r="AEW133" s="92"/>
      <c r="AEX133" s="92"/>
      <c r="AEY133" s="92"/>
      <c r="AEZ133" s="92"/>
      <c r="AFA133" s="92"/>
      <c r="AFB133" s="92"/>
      <c r="AFC133" s="92"/>
      <c r="AFD133" s="92"/>
      <c r="AFE133" s="92"/>
      <c r="AFF133" s="92"/>
      <c r="AFG133" s="92"/>
      <c r="AFH133" s="92"/>
      <c r="AFI133" s="92"/>
      <c r="AFJ133" s="92"/>
      <c r="AFK133" s="92"/>
      <c r="AFL133" s="92"/>
      <c r="AFM133" s="92"/>
      <c r="AFN133" s="92"/>
      <c r="AFO133" s="92"/>
      <c r="AFP133" s="92"/>
      <c r="AFQ133" s="92"/>
      <c r="AFR133" s="92"/>
      <c r="AFS133" s="92"/>
      <c r="AFT133" s="92"/>
      <c r="AFU133" s="92"/>
      <c r="AFV133" s="92"/>
      <c r="AFW133" s="92"/>
      <c r="AFX133" s="92"/>
      <c r="AFY133" s="92"/>
      <c r="AFZ133" s="92"/>
      <c r="AGA133" s="92"/>
      <c r="AGB133" s="92"/>
      <c r="AGC133" s="92"/>
      <c r="AGD133" s="92"/>
      <c r="AGE133" s="92"/>
      <c r="AGF133" s="92"/>
      <c r="AGG133" s="92"/>
      <c r="AGH133" s="92"/>
      <c r="AGI133" s="92"/>
      <c r="AGJ133" s="92"/>
      <c r="AGK133" s="92"/>
      <c r="AGL133" s="92"/>
      <c r="AGM133" s="92"/>
      <c r="AGN133" s="92"/>
      <c r="AGO133" s="92"/>
      <c r="AGP133" s="92"/>
      <c r="AGQ133" s="92"/>
      <c r="AGR133" s="92"/>
      <c r="AGS133" s="92"/>
      <c r="AGT133" s="92"/>
      <c r="AGU133" s="92"/>
      <c r="AGV133" s="92"/>
      <c r="AGW133" s="92"/>
      <c r="AGX133" s="92"/>
      <c r="AGY133" s="92"/>
      <c r="AGZ133" s="92"/>
      <c r="AHA133" s="92"/>
      <c r="AHB133" s="92"/>
      <c r="AHC133" s="92"/>
      <c r="AHD133" s="92"/>
      <c r="AHE133" s="92"/>
      <c r="AHF133" s="92"/>
      <c r="AHG133" s="92"/>
      <c r="AHH133" s="92"/>
      <c r="AHI133" s="92"/>
      <c r="AHJ133" s="92"/>
      <c r="AHK133" s="92"/>
      <c r="AHL133" s="92"/>
      <c r="AHM133" s="92"/>
      <c r="AHN133" s="92"/>
      <c r="AHO133" s="92"/>
      <c r="AHP133" s="92"/>
      <c r="AHQ133" s="92"/>
      <c r="AHR133" s="92"/>
      <c r="AHS133" s="92"/>
      <c r="AHT133" s="92"/>
      <c r="AHU133" s="92"/>
      <c r="AHV133" s="92"/>
      <c r="AHW133" s="92"/>
      <c r="AHX133" s="92"/>
      <c r="AHY133" s="92"/>
      <c r="AHZ133" s="92"/>
      <c r="AIA133" s="92"/>
      <c r="AIB133" s="92"/>
      <c r="AIC133" s="92"/>
      <c r="AID133" s="92"/>
      <c r="AIE133" s="92"/>
      <c r="AIF133" s="92"/>
      <c r="AIG133" s="92"/>
      <c r="AIH133" s="92"/>
      <c r="AII133" s="92"/>
      <c r="AIJ133" s="92"/>
      <c r="AIK133" s="92"/>
      <c r="AIL133" s="92"/>
      <c r="AIM133" s="92"/>
      <c r="AIN133" s="92"/>
      <c r="AIO133" s="92"/>
      <c r="AIP133" s="92"/>
      <c r="AIQ133" s="92"/>
      <c r="AIR133" s="92"/>
      <c r="AIS133" s="92"/>
      <c r="AIT133" s="92"/>
      <c r="AIU133" s="92"/>
      <c r="AIV133" s="92"/>
      <c r="AIW133" s="92"/>
      <c r="AIX133" s="92"/>
      <c r="AIY133" s="92"/>
      <c r="AIZ133" s="92"/>
      <c r="AJA133" s="92"/>
      <c r="AJB133" s="92"/>
      <c r="AJC133" s="92"/>
      <c r="AJD133" s="92"/>
      <c r="AJE133" s="92"/>
      <c r="AJF133" s="92"/>
      <c r="AJG133" s="92"/>
      <c r="AJH133" s="92"/>
      <c r="AJI133" s="92"/>
      <c r="AJJ133" s="92"/>
      <c r="AJK133" s="92"/>
      <c r="AJL133" s="92"/>
      <c r="AJM133" s="92"/>
      <c r="AJN133" s="92"/>
      <c r="AJO133" s="92"/>
      <c r="AJP133" s="92"/>
      <c r="AJQ133" s="92"/>
      <c r="AJR133" s="92"/>
      <c r="AJS133" s="92"/>
      <c r="AJT133" s="92"/>
      <c r="AJU133" s="92"/>
      <c r="AJV133" s="92"/>
      <c r="AJW133" s="92"/>
      <c r="AJX133" s="92"/>
      <c r="AJY133" s="92"/>
      <c r="AJZ133" s="92"/>
      <c r="AKA133" s="92"/>
      <c r="AKB133" s="92"/>
      <c r="AKC133" s="92"/>
      <c r="AKD133" s="92"/>
      <c r="AKE133" s="92"/>
      <c r="AKF133" s="92"/>
      <c r="AKG133" s="92"/>
      <c r="AKH133" s="92"/>
      <c r="AKI133" s="92"/>
      <c r="AKJ133" s="92"/>
      <c r="AKK133" s="92"/>
      <c r="AKL133" s="92"/>
      <c r="AKM133" s="92"/>
      <c r="AKN133" s="92"/>
      <c r="AKO133" s="92"/>
      <c r="AKP133" s="92"/>
      <c r="AKQ133" s="92"/>
      <c r="AKR133" s="92"/>
      <c r="AKS133" s="92"/>
      <c r="AKT133" s="92"/>
      <c r="AKU133" s="92"/>
      <c r="AKV133" s="92"/>
      <c r="AKW133" s="92"/>
      <c r="AKX133" s="92"/>
      <c r="AKY133" s="92"/>
      <c r="AKZ133" s="92"/>
      <c r="ALA133" s="92"/>
      <c r="ALB133" s="92"/>
      <c r="ALC133" s="92"/>
      <c r="ALD133" s="92"/>
      <c r="ALE133" s="92"/>
      <c r="ALF133" s="92"/>
      <c r="ALG133" s="92"/>
      <c r="ALH133" s="92"/>
      <c r="ALI133" s="92"/>
      <c r="ALJ133" s="92"/>
      <c r="ALK133" s="92"/>
      <c r="ALL133" s="92"/>
      <c r="ALM133" s="92"/>
      <c r="ALN133" s="92"/>
      <c r="ALO133" s="92"/>
      <c r="ALP133" s="92"/>
      <c r="ALQ133" s="92"/>
      <c r="ALR133" s="92"/>
      <c r="ALS133" s="92"/>
      <c r="ALT133" s="92"/>
      <c r="ALU133" s="92"/>
      <c r="ALV133" s="92"/>
      <c r="ALW133" s="92"/>
      <c r="ALX133" s="92"/>
      <c r="ALY133" s="92"/>
      <c r="ALZ133" s="92"/>
      <c r="AMA133" s="92"/>
      <c r="AMB133" s="92"/>
      <c r="AMC133" s="92"/>
      <c r="AMD133" s="92"/>
      <c r="AME133" s="92"/>
      <c r="AMF133" s="92"/>
      <c r="AMG133" s="92"/>
      <c r="AMH133" s="92"/>
      <c r="AMI133" s="92"/>
      <c r="AMJ133" s="92"/>
      <c r="AMK133" s="92"/>
      <c r="AML133" s="92"/>
      <c r="AMM133" s="92"/>
      <c r="AMN133" s="92"/>
      <c r="AMO133" s="92"/>
      <c r="AMP133" s="92"/>
      <c r="AMQ133" s="92"/>
      <c r="AMR133" s="92"/>
      <c r="AMS133" s="92"/>
      <c r="AMT133" s="92"/>
      <c r="AMU133" s="92"/>
      <c r="AMV133" s="92"/>
      <c r="AMW133" s="92"/>
      <c r="AMX133" s="92"/>
    </row>
    <row r="134" spans="1:1038" ht="14.65" customHeight="1" x14ac:dyDescent="0.2">
      <c r="A134" s="13"/>
      <c r="B134" s="9"/>
      <c r="C134" s="8"/>
      <c r="E134" s="9"/>
      <c r="F134" s="9"/>
      <c r="G134" s="9"/>
      <c r="H134" s="9"/>
      <c r="I134" s="11"/>
      <c r="J134" s="9"/>
      <c r="K134" s="9"/>
      <c r="L134" s="9"/>
      <c r="M134" s="9"/>
      <c r="N134" s="63"/>
      <c r="O134" s="11"/>
      <c r="P134" s="11"/>
      <c r="Q134" s="10"/>
      <c r="R134" s="10"/>
      <c r="S134" s="64"/>
      <c r="T134" s="10"/>
      <c r="U134" s="12"/>
    </row>
    <row r="254" spans="5:5" ht="14.65" customHeight="1" x14ac:dyDescent="0.2">
      <c r="E254" t="s">
        <v>82</v>
      </c>
    </row>
    <row r="65512" ht="12.75" customHeight="1" x14ac:dyDescent="0.2"/>
    <row r="65513" ht="12.75" customHeight="1" x14ac:dyDescent="0.2"/>
    <row r="65514" ht="12.75" customHeight="1" x14ac:dyDescent="0.2"/>
    <row r="65515" ht="12.75" customHeight="1" x14ac:dyDescent="0.2"/>
    <row r="65516" ht="12.75" customHeight="1" x14ac:dyDescent="0.2"/>
    <row r="65517" ht="12.75" customHeight="1" x14ac:dyDescent="0.2"/>
    <row r="65518" ht="12.75" customHeight="1" x14ac:dyDescent="0.2"/>
    <row r="65519" ht="12.75" customHeight="1" x14ac:dyDescent="0.2"/>
    <row r="65520" ht="12.75" customHeight="1" x14ac:dyDescent="0.2"/>
    <row r="65521" ht="12.75" customHeight="1" x14ac:dyDescent="0.2"/>
    <row r="65522" ht="12.75" customHeight="1" x14ac:dyDescent="0.2"/>
    <row r="65523" ht="12.75" customHeight="1" x14ac:dyDescent="0.2"/>
    <row r="65524" ht="12.75" customHeight="1" x14ac:dyDescent="0.2"/>
    <row r="65525" ht="12.75" customHeight="1" x14ac:dyDescent="0.2"/>
    <row r="65526" ht="12.75" customHeight="1" x14ac:dyDescent="0.2"/>
  </sheetData>
  <sheetProtection selectLockedCells="1" selectUnlockedCells="1"/>
  <autoFilter ref="B1:U65526" xr:uid="{AA620E70-6C77-491E-BDAE-FB4CEB60C50E}"/>
  <mergeCells count="26">
    <mergeCell ref="B105:F105"/>
    <mergeCell ref="B61:F61"/>
    <mergeCell ref="B58:F58"/>
    <mergeCell ref="B129:F129"/>
    <mergeCell ref="B128:F128"/>
    <mergeCell ref="B123:F123"/>
    <mergeCell ref="B118:F118"/>
    <mergeCell ref="B111:F111"/>
    <mergeCell ref="B108:F108"/>
    <mergeCell ref="B113:U113"/>
    <mergeCell ref="B120:U120"/>
    <mergeCell ref="B125:U125"/>
    <mergeCell ref="B106:U106"/>
    <mergeCell ref="B109:U109"/>
    <mergeCell ref="B85:U85"/>
    <mergeCell ref="B2:U2"/>
    <mergeCell ref="B18:U18"/>
    <mergeCell ref="B24:U24"/>
    <mergeCell ref="B39:U39"/>
    <mergeCell ref="B43:U43"/>
    <mergeCell ref="B48:U48"/>
    <mergeCell ref="B55:U55"/>
    <mergeCell ref="B59:U59"/>
    <mergeCell ref="B62:U62"/>
    <mergeCell ref="B66:U66"/>
    <mergeCell ref="B77:U77"/>
  </mergeCells>
  <phoneticPr fontId="5" type="noConversion"/>
  <dataValidations count="1">
    <dataValidation type="list" allowBlank="1" showInputMessage="1" showErrorMessage="1" sqref="B3:B16 B19:B22 B25:B37 B40:B41 B44:B46 B49:B53 B56:B57 B60 B63:B64 B67:B75 B78:B83 B86:B104 B107 B110 B114:B117 B121:B122 B126:B127" xr:uid="{0D2206D4-0081-4FD4-8BBC-D2C90C2853C6}">
      <formula1>"Ciclovie,Verde Pubblico,Rigenerazione Urbana,Lavori Pubblici,Edilizia Scolastica,Impianti Sportivi,Mobilità/Infrastrutture,Servizi Digitali,Servizi Sociali"</formula1>
    </dataValidation>
  </dataValidations>
  <pageMargins left="0.78749999999999998" right="0.78749999999999998" top="1.0527777777777778" bottom="1.0527777777777778" header="0.78749999999999998" footer="0.78749999999999998"/>
  <pageSetup paperSize="8" scale="45" orientation="landscape" useFirstPageNumber="1" horizontalDpi="300" verticalDpi="300" r:id="rId1"/>
  <headerFooter alignWithMargins="0">
    <oddHeader>&amp;C&amp;"Times New Roman,Normale"&amp;12&amp;A</oddHeader>
    <oddFooter>&amp;C&amp;"Times New Roman,Normale"&amp;12Pagina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B6DE0-930E-409A-8E10-88CC6EC3B61E}">
  <dimension ref="A1:L86"/>
  <sheetViews>
    <sheetView showGridLines="0" workbookViewId="0">
      <pane ySplit="1" topLeftCell="A2" activePane="bottomLeft" state="frozen"/>
      <selection pane="bottomLeft"/>
    </sheetView>
  </sheetViews>
  <sheetFormatPr defaultRowHeight="12.75" x14ac:dyDescent="0.2"/>
  <cols>
    <col min="1" max="1" width="8" customWidth="1"/>
    <col min="2" max="2" width="20" customWidth="1"/>
    <col min="3" max="3" width="62" customWidth="1"/>
    <col min="4" max="4" width="52" customWidth="1"/>
    <col min="5" max="6" width="14" customWidth="1"/>
    <col min="7" max="7" width="24" customWidth="1"/>
    <col min="8" max="8" width="16" customWidth="1"/>
    <col min="9" max="9" width="52" customWidth="1"/>
    <col min="10" max="10" width="55" customWidth="1"/>
    <col min="11" max="11" width="62" customWidth="1"/>
    <col min="12" max="12" width="22" customWidth="1"/>
  </cols>
  <sheetData>
    <row r="1" spans="1:12" ht="32.1" customHeight="1" x14ac:dyDescent="0.2">
      <c r="A1" s="171" t="s">
        <v>340</v>
      </c>
      <c r="B1" s="171" t="s">
        <v>1</v>
      </c>
      <c r="C1" s="171" t="s">
        <v>341</v>
      </c>
      <c r="D1" s="171" t="s">
        <v>342</v>
      </c>
      <c r="E1" s="171" t="s">
        <v>343</v>
      </c>
      <c r="F1" s="171" t="s">
        <v>344</v>
      </c>
      <c r="G1" s="171" t="s">
        <v>345</v>
      </c>
      <c r="H1" s="171" t="s">
        <v>346</v>
      </c>
      <c r="I1" s="171" t="s">
        <v>347</v>
      </c>
      <c r="J1" s="171" t="s">
        <v>348</v>
      </c>
      <c r="K1" s="171" t="s">
        <v>349</v>
      </c>
      <c r="L1" s="171" t="s">
        <v>350</v>
      </c>
    </row>
    <row r="2" spans="1:12" ht="51" x14ac:dyDescent="0.25">
      <c r="A2" s="172">
        <v>7</v>
      </c>
      <c r="B2" s="172" t="s">
        <v>28</v>
      </c>
      <c r="C2" s="172" t="s">
        <v>27</v>
      </c>
      <c r="D2" s="172" t="s">
        <v>30</v>
      </c>
      <c r="E2" s="173">
        <v>44.698399999999999</v>
      </c>
      <c r="F2" s="173">
        <v>10.6098</v>
      </c>
      <c r="G2" s="172" t="s">
        <v>351</v>
      </c>
      <c r="H2" s="172" t="s">
        <v>352</v>
      </c>
      <c r="I2" s="172" t="s">
        <v>353</v>
      </c>
      <c r="J2" s="174" t="s">
        <v>354</v>
      </c>
      <c r="K2" s="172" t="s">
        <v>355</v>
      </c>
      <c r="L2" s="172" t="s">
        <v>356</v>
      </c>
    </row>
    <row r="3" spans="1:12" ht="25.5" x14ac:dyDescent="0.25">
      <c r="A3" s="172">
        <v>10</v>
      </c>
      <c r="B3" s="172" t="s">
        <v>40</v>
      </c>
      <c r="C3" s="172" t="s">
        <v>39</v>
      </c>
      <c r="D3" s="172" t="s">
        <v>42</v>
      </c>
      <c r="E3" s="173">
        <v>44.692202999999999</v>
      </c>
      <c r="F3" s="173">
        <v>10.642396</v>
      </c>
      <c r="G3" s="172" t="s">
        <v>357</v>
      </c>
      <c r="H3" s="172" t="s">
        <v>352</v>
      </c>
      <c r="I3" s="172" t="s">
        <v>358</v>
      </c>
      <c r="J3" s="174" t="s">
        <v>359</v>
      </c>
      <c r="K3" s="172" t="s">
        <v>360</v>
      </c>
      <c r="L3" s="172" t="s">
        <v>356</v>
      </c>
    </row>
    <row r="4" spans="1:12" ht="51" x14ac:dyDescent="0.25">
      <c r="A4" s="172">
        <v>11</v>
      </c>
      <c r="B4" s="172" t="s">
        <v>44</v>
      </c>
      <c r="C4" s="172" t="s">
        <v>43</v>
      </c>
      <c r="D4" s="172" t="s">
        <v>46</v>
      </c>
      <c r="E4" s="173">
        <v>44.695050000000002</v>
      </c>
      <c r="F4" s="173">
        <v>10.61947</v>
      </c>
      <c r="G4" s="172" t="s">
        <v>357</v>
      </c>
      <c r="H4" s="172" t="s">
        <v>352</v>
      </c>
      <c r="I4" s="172" t="s">
        <v>361</v>
      </c>
      <c r="J4" s="174" t="s">
        <v>362</v>
      </c>
      <c r="K4" s="172" t="s">
        <v>363</v>
      </c>
      <c r="L4" s="172" t="s">
        <v>356</v>
      </c>
    </row>
    <row r="5" spans="1:12" ht="102" x14ac:dyDescent="0.25">
      <c r="A5" s="172">
        <v>12</v>
      </c>
      <c r="B5" s="172" t="s">
        <v>48</v>
      </c>
      <c r="C5" s="172" t="s">
        <v>47</v>
      </c>
      <c r="D5" s="172" t="s">
        <v>49</v>
      </c>
      <c r="E5" s="173">
        <v>44.735999999999997</v>
      </c>
      <c r="F5" s="173">
        <v>10.5261</v>
      </c>
      <c r="G5" s="172" t="s">
        <v>364</v>
      </c>
      <c r="H5" s="172" t="s">
        <v>365</v>
      </c>
      <c r="I5" s="172" t="s">
        <v>366</v>
      </c>
      <c r="J5" s="174" t="s">
        <v>367</v>
      </c>
      <c r="K5" s="172" t="s">
        <v>368</v>
      </c>
      <c r="L5" s="172" t="s">
        <v>356</v>
      </c>
    </row>
    <row r="6" spans="1:12" ht="25.5" x14ac:dyDescent="0.25">
      <c r="A6" s="172">
        <v>13</v>
      </c>
      <c r="B6" s="172" t="s">
        <v>51</v>
      </c>
      <c r="C6" s="172" t="s">
        <v>50</v>
      </c>
      <c r="D6" s="172" t="s">
        <v>52</v>
      </c>
      <c r="E6" s="173">
        <v>44.714300000000001</v>
      </c>
      <c r="F6" s="173">
        <v>10.6105</v>
      </c>
      <c r="G6" s="172" t="s">
        <v>369</v>
      </c>
      <c r="H6" s="172" t="s">
        <v>370</v>
      </c>
      <c r="I6" s="172" t="s">
        <v>371</v>
      </c>
      <c r="J6" s="174" t="s">
        <v>372</v>
      </c>
      <c r="K6" s="172" t="s">
        <v>373</v>
      </c>
      <c r="L6" s="172" t="s">
        <v>356</v>
      </c>
    </row>
    <row r="7" spans="1:12" ht="51" x14ac:dyDescent="0.25">
      <c r="A7" s="172">
        <v>14</v>
      </c>
      <c r="B7" s="172" t="s">
        <v>54</v>
      </c>
      <c r="C7" s="172" t="s">
        <v>53</v>
      </c>
      <c r="D7" s="172" t="s">
        <v>55</v>
      </c>
      <c r="E7" s="173">
        <v>44.699109999999997</v>
      </c>
      <c r="F7" s="173">
        <v>10.63659</v>
      </c>
      <c r="G7" s="172" t="s">
        <v>364</v>
      </c>
      <c r="H7" s="172" t="s">
        <v>365</v>
      </c>
      <c r="I7" s="172" t="s">
        <v>374</v>
      </c>
      <c r="J7" s="174" t="s">
        <v>375</v>
      </c>
      <c r="K7" s="172" t="s">
        <v>376</v>
      </c>
      <c r="L7" s="172" t="s">
        <v>356</v>
      </c>
    </row>
    <row r="8" spans="1:12" ht="38.25" x14ac:dyDescent="0.25">
      <c r="A8" s="172">
        <v>15</v>
      </c>
      <c r="B8" s="172" t="s">
        <v>57</v>
      </c>
      <c r="C8" s="172" t="s">
        <v>56</v>
      </c>
      <c r="D8" s="172"/>
      <c r="E8" s="173">
        <v>44.701410000000003</v>
      </c>
      <c r="F8" s="173">
        <v>10.628550000000001</v>
      </c>
      <c r="G8" s="172" t="s">
        <v>377</v>
      </c>
      <c r="H8" s="172" t="s">
        <v>352</v>
      </c>
      <c r="I8" s="172" t="s">
        <v>378</v>
      </c>
      <c r="J8" s="174" t="s">
        <v>379</v>
      </c>
      <c r="K8" s="172" t="s">
        <v>380</v>
      </c>
      <c r="L8" s="172" t="s">
        <v>356</v>
      </c>
    </row>
    <row r="9" spans="1:12" ht="25.5" x14ac:dyDescent="0.25">
      <c r="A9" s="172">
        <v>16</v>
      </c>
      <c r="B9" s="172" t="s">
        <v>60</v>
      </c>
      <c r="C9" s="172" t="s">
        <v>59</v>
      </c>
      <c r="D9" s="172" t="s">
        <v>61</v>
      </c>
      <c r="E9" s="173">
        <v>44.681100000000001</v>
      </c>
      <c r="F9" s="173">
        <v>10.6052</v>
      </c>
      <c r="G9" s="172" t="s">
        <v>369</v>
      </c>
      <c r="H9" s="172" t="s">
        <v>370</v>
      </c>
      <c r="I9" s="172" t="s">
        <v>381</v>
      </c>
      <c r="J9" s="174" t="s">
        <v>382</v>
      </c>
      <c r="K9" s="172" t="s">
        <v>383</v>
      </c>
      <c r="L9" s="172" t="s">
        <v>356</v>
      </c>
    </row>
    <row r="10" spans="1:12" ht="38.25" x14ac:dyDescent="0.25">
      <c r="A10" s="172">
        <v>19</v>
      </c>
      <c r="B10" s="172" t="s">
        <v>65</v>
      </c>
      <c r="C10" s="172" t="s">
        <v>64</v>
      </c>
      <c r="D10" s="172" t="s">
        <v>67</v>
      </c>
      <c r="E10" s="173">
        <v>44.686399999999999</v>
      </c>
      <c r="F10" s="173">
        <v>10.6144</v>
      </c>
      <c r="G10" s="172" t="s">
        <v>369</v>
      </c>
      <c r="H10" s="172" t="s">
        <v>370</v>
      </c>
      <c r="I10" s="172" t="s">
        <v>384</v>
      </c>
      <c r="J10" s="174" t="s">
        <v>382</v>
      </c>
      <c r="K10" s="172" t="s">
        <v>385</v>
      </c>
      <c r="L10" s="172" t="s">
        <v>356</v>
      </c>
    </row>
    <row r="11" spans="1:12" ht="76.5" x14ac:dyDescent="0.25">
      <c r="A11" s="172">
        <v>20</v>
      </c>
      <c r="B11" s="172" t="s">
        <v>70</v>
      </c>
      <c r="C11" s="172" t="s">
        <v>69</v>
      </c>
      <c r="D11" s="172" t="s">
        <v>72</v>
      </c>
      <c r="E11" s="173">
        <v>44.688800000000001</v>
      </c>
      <c r="F11" s="173">
        <v>10.651199999999999</v>
      </c>
      <c r="G11" s="172" t="s">
        <v>351</v>
      </c>
      <c r="H11" s="172" t="s">
        <v>370</v>
      </c>
      <c r="I11" s="172" t="s">
        <v>386</v>
      </c>
      <c r="J11" s="174" t="s">
        <v>387</v>
      </c>
      <c r="K11" s="172" t="s">
        <v>388</v>
      </c>
      <c r="L11" s="172" t="s">
        <v>356</v>
      </c>
    </row>
    <row r="12" spans="1:12" ht="38.25" x14ac:dyDescent="0.25">
      <c r="A12" s="172">
        <v>21</v>
      </c>
      <c r="B12" s="172" t="s">
        <v>75</v>
      </c>
      <c r="C12" s="172" t="s">
        <v>74</v>
      </c>
      <c r="D12" s="172" t="s">
        <v>76</v>
      </c>
      <c r="E12" s="173">
        <v>44.704799999999999</v>
      </c>
      <c r="F12" s="173">
        <v>10.637499999999999</v>
      </c>
      <c r="G12" s="172" t="s">
        <v>389</v>
      </c>
      <c r="H12" s="172" t="s">
        <v>370</v>
      </c>
      <c r="I12" s="172" t="s">
        <v>390</v>
      </c>
      <c r="J12" s="174" t="s">
        <v>391</v>
      </c>
      <c r="K12" s="172" t="s">
        <v>392</v>
      </c>
      <c r="L12" s="172" t="s">
        <v>356</v>
      </c>
    </row>
    <row r="13" spans="1:12" ht="114.75" x14ac:dyDescent="0.25">
      <c r="A13" s="172">
        <v>22</v>
      </c>
      <c r="B13" s="172" t="s">
        <v>79</v>
      </c>
      <c r="C13" s="172" t="s">
        <v>78</v>
      </c>
      <c r="D13" s="172" t="s">
        <v>80</v>
      </c>
      <c r="E13" s="173">
        <v>44.69</v>
      </c>
      <c r="F13" s="173">
        <v>10.665100000000001</v>
      </c>
      <c r="G13" s="172" t="s">
        <v>389</v>
      </c>
      <c r="H13" s="172" t="s">
        <v>370</v>
      </c>
      <c r="I13" s="172" t="s">
        <v>393</v>
      </c>
      <c r="J13" s="174" t="s">
        <v>394</v>
      </c>
      <c r="K13" s="172" t="s">
        <v>395</v>
      </c>
      <c r="L13" s="172" t="s">
        <v>356</v>
      </c>
    </row>
    <row r="14" spans="1:12" ht="25.5" x14ac:dyDescent="0.25">
      <c r="A14" s="172">
        <v>27</v>
      </c>
      <c r="B14" s="172" t="s">
        <v>92</v>
      </c>
      <c r="C14" s="172" t="s">
        <v>91</v>
      </c>
      <c r="D14" s="172" t="s">
        <v>93</v>
      </c>
      <c r="E14" s="173">
        <v>44.640900000000002</v>
      </c>
      <c r="F14" s="173">
        <v>10.7371</v>
      </c>
      <c r="G14" s="172" t="s">
        <v>369</v>
      </c>
      <c r="H14" s="172" t="s">
        <v>370</v>
      </c>
      <c r="I14" s="172" t="s">
        <v>396</v>
      </c>
      <c r="J14" s="174" t="s">
        <v>382</v>
      </c>
      <c r="K14" s="172" t="s">
        <v>397</v>
      </c>
      <c r="L14" s="172" t="s">
        <v>356</v>
      </c>
    </row>
    <row r="15" spans="1:12" ht="25.5" x14ac:dyDescent="0.25">
      <c r="A15" s="172">
        <v>31</v>
      </c>
      <c r="B15" s="172" t="s">
        <v>105</v>
      </c>
      <c r="C15" s="172" t="s">
        <v>104</v>
      </c>
      <c r="D15" s="172" t="s">
        <v>106</v>
      </c>
      <c r="E15" s="173">
        <v>44.68618</v>
      </c>
      <c r="F15" s="173">
        <v>10.65208</v>
      </c>
      <c r="G15" s="172" t="s">
        <v>357</v>
      </c>
      <c r="H15" s="172" t="s">
        <v>352</v>
      </c>
      <c r="I15" s="172" t="s">
        <v>398</v>
      </c>
      <c r="J15" s="174" t="s">
        <v>399</v>
      </c>
      <c r="K15" s="172" t="s">
        <v>400</v>
      </c>
      <c r="L15" s="172" t="s">
        <v>356</v>
      </c>
    </row>
    <row r="16" spans="1:12" ht="25.5" x14ac:dyDescent="0.25">
      <c r="A16" s="172">
        <v>33</v>
      </c>
      <c r="B16" s="172" t="s">
        <v>111</v>
      </c>
      <c r="C16" s="172" t="s">
        <v>110</v>
      </c>
      <c r="D16" s="172" t="s">
        <v>112</v>
      </c>
      <c r="E16" s="173">
        <v>44.685400000000001</v>
      </c>
      <c r="F16" s="173">
        <v>10.6195</v>
      </c>
      <c r="G16" s="172" t="s">
        <v>401</v>
      </c>
      <c r="H16" s="172" t="s">
        <v>370</v>
      </c>
      <c r="I16" s="172" t="s">
        <v>402</v>
      </c>
      <c r="J16" s="174" t="s">
        <v>403</v>
      </c>
      <c r="K16" s="172" t="s">
        <v>404</v>
      </c>
      <c r="L16" s="172" t="s">
        <v>356</v>
      </c>
    </row>
    <row r="17" spans="1:12" ht="25.5" x14ac:dyDescent="0.25">
      <c r="A17" s="172">
        <v>34</v>
      </c>
      <c r="B17" s="172" t="s">
        <v>114</v>
      </c>
      <c r="C17" s="172" t="s">
        <v>113</v>
      </c>
      <c r="D17" s="172" t="s">
        <v>115</v>
      </c>
      <c r="E17" s="173">
        <v>44.672800000000002</v>
      </c>
      <c r="F17" s="173">
        <v>10.614800000000001</v>
      </c>
      <c r="G17" s="172" t="s">
        <v>401</v>
      </c>
      <c r="H17" s="172" t="s">
        <v>370</v>
      </c>
      <c r="I17" s="172" t="s">
        <v>405</v>
      </c>
      <c r="J17" s="174" t="s">
        <v>399</v>
      </c>
      <c r="K17" s="172" t="s">
        <v>406</v>
      </c>
      <c r="L17" s="172" t="s">
        <v>356</v>
      </c>
    </row>
    <row r="18" spans="1:12" ht="25.5" x14ac:dyDescent="0.25">
      <c r="A18" s="172">
        <v>35</v>
      </c>
      <c r="B18" s="172" t="s">
        <v>117</v>
      </c>
      <c r="C18" s="172" t="s">
        <v>116</v>
      </c>
      <c r="D18" s="172" t="s">
        <v>118</v>
      </c>
      <c r="E18" s="173">
        <v>44.692799999999998</v>
      </c>
      <c r="F18" s="173">
        <v>10.607799999999999</v>
      </c>
      <c r="G18" s="172" t="s">
        <v>369</v>
      </c>
      <c r="H18" s="172" t="s">
        <v>370</v>
      </c>
      <c r="I18" s="172" t="s">
        <v>407</v>
      </c>
      <c r="J18" s="174" t="s">
        <v>408</v>
      </c>
      <c r="K18" s="172" t="s">
        <v>409</v>
      </c>
      <c r="L18" s="172" t="s">
        <v>356</v>
      </c>
    </row>
    <row r="19" spans="1:12" ht="25.5" x14ac:dyDescent="0.25">
      <c r="A19" s="172">
        <v>36</v>
      </c>
      <c r="B19" s="172" t="s">
        <v>120</v>
      </c>
      <c r="C19" s="172" t="s">
        <v>119</v>
      </c>
      <c r="D19" s="172" t="s">
        <v>121</v>
      </c>
      <c r="E19" s="173">
        <v>44.706521000000002</v>
      </c>
      <c r="F19" s="173">
        <v>10.595694999999999</v>
      </c>
      <c r="G19" s="172" t="s">
        <v>357</v>
      </c>
      <c r="H19" s="172" t="s">
        <v>352</v>
      </c>
      <c r="I19" s="172" t="s">
        <v>410</v>
      </c>
      <c r="J19" s="174" t="s">
        <v>411</v>
      </c>
      <c r="K19" s="172" t="s">
        <v>412</v>
      </c>
      <c r="L19" s="172" t="s">
        <v>356</v>
      </c>
    </row>
    <row r="20" spans="1:12" ht="25.5" x14ac:dyDescent="0.25">
      <c r="A20" s="172">
        <v>37</v>
      </c>
      <c r="B20" s="172" t="s">
        <v>123</v>
      </c>
      <c r="C20" s="172" t="s">
        <v>122</v>
      </c>
      <c r="D20" s="172" t="s">
        <v>124</v>
      </c>
      <c r="E20" s="173">
        <v>44.700631000000001</v>
      </c>
      <c r="F20" s="173">
        <v>10.599942</v>
      </c>
      <c r="G20" s="172" t="s">
        <v>351</v>
      </c>
      <c r="H20" s="172" t="s">
        <v>352</v>
      </c>
      <c r="I20" s="172" t="s">
        <v>413</v>
      </c>
      <c r="J20" s="174" t="s">
        <v>414</v>
      </c>
      <c r="K20" s="172" t="s">
        <v>415</v>
      </c>
      <c r="L20" s="172" t="s">
        <v>356</v>
      </c>
    </row>
    <row r="21" spans="1:12" ht="25.5" x14ac:dyDescent="0.25">
      <c r="A21" s="172">
        <v>40</v>
      </c>
      <c r="B21" s="172" t="s">
        <v>127</v>
      </c>
      <c r="C21" s="172" t="s">
        <v>126</v>
      </c>
      <c r="D21" s="172" t="s">
        <v>128</v>
      </c>
      <c r="E21" s="173">
        <v>44.657499999999999</v>
      </c>
      <c r="F21" s="173">
        <v>10.708299999999999</v>
      </c>
      <c r="G21" s="172" t="s">
        <v>369</v>
      </c>
      <c r="H21" s="172" t="s">
        <v>370</v>
      </c>
      <c r="I21" s="172" t="s">
        <v>416</v>
      </c>
      <c r="J21" s="174" t="s">
        <v>382</v>
      </c>
      <c r="K21" s="172" t="s">
        <v>417</v>
      </c>
      <c r="L21" s="172" t="s">
        <v>356</v>
      </c>
    </row>
    <row r="22" spans="1:12" ht="25.5" x14ac:dyDescent="0.25">
      <c r="A22" s="172">
        <v>41</v>
      </c>
      <c r="B22" s="172" t="s">
        <v>130</v>
      </c>
      <c r="C22" s="172" t="s">
        <v>129</v>
      </c>
      <c r="D22" s="172" t="s">
        <v>131</v>
      </c>
      <c r="E22" s="173">
        <v>44.693269999999998</v>
      </c>
      <c r="F22" s="173">
        <v>10.64129</v>
      </c>
      <c r="G22" s="172" t="s">
        <v>357</v>
      </c>
      <c r="H22" s="172" t="s">
        <v>352</v>
      </c>
      <c r="I22" s="172" t="s">
        <v>418</v>
      </c>
      <c r="J22" s="174" t="s">
        <v>419</v>
      </c>
      <c r="K22" s="172" t="s">
        <v>420</v>
      </c>
      <c r="L22" s="172" t="s">
        <v>356</v>
      </c>
    </row>
    <row r="23" spans="1:12" ht="51" x14ac:dyDescent="0.25">
      <c r="A23" s="172">
        <v>44</v>
      </c>
      <c r="B23" s="172" t="s">
        <v>134</v>
      </c>
      <c r="C23" s="172" t="s">
        <v>133</v>
      </c>
      <c r="D23" s="172" t="s">
        <v>136</v>
      </c>
      <c r="E23" s="173">
        <v>44.693809999999999</v>
      </c>
      <c r="F23" s="173">
        <v>10.655150000000001</v>
      </c>
      <c r="G23" s="172" t="s">
        <v>364</v>
      </c>
      <c r="H23" s="172" t="s">
        <v>365</v>
      </c>
      <c r="I23" s="172" t="s">
        <v>421</v>
      </c>
      <c r="J23" s="174" t="s">
        <v>422</v>
      </c>
      <c r="K23" s="172" t="s">
        <v>423</v>
      </c>
      <c r="L23" s="172" t="s">
        <v>356</v>
      </c>
    </row>
    <row r="24" spans="1:12" ht="89.25" x14ac:dyDescent="0.25">
      <c r="A24" s="172">
        <v>45</v>
      </c>
      <c r="B24" s="172" t="s">
        <v>138</v>
      </c>
      <c r="C24" s="172" t="s">
        <v>137</v>
      </c>
      <c r="D24" s="172" t="s">
        <v>139</v>
      </c>
      <c r="E24" s="173">
        <v>44.7301</v>
      </c>
      <c r="F24" s="173">
        <v>10.645</v>
      </c>
      <c r="G24" s="172" t="s">
        <v>364</v>
      </c>
      <c r="H24" s="172" t="s">
        <v>365</v>
      </c>
      <c r="I24" s="172" t="s">
        <v>424</v>
      </c>
      <c r="J24" s="174" t="s">
        <v>382</v>
      </c>
      <c r="K24" s="172" t="s">
        <v>425</v>
      </c>
      <c r="L24" s="172" t="s">
        <v>356</v>
      </c>
    </row>
    <row r="25" spans="1:12" ht="38.25" x14ac:dyDescent="0.25">
      <c r="A25" s="172">
        <v>46</v>
      </c>
      <c r="B25" s="172" t="s">
        <v>141</v>
      </c>
      <c r="C25" s="172" t="s">
        <v>140</v>
      </c>
      <c r="D25" s="172" t="s">
        <v>142</v>
      </c>
      <c r="E25" s="173">
        <v>44.695</v>
      </c>
      <c r="F25" s="173">
        <v>10.62</v>
      </c>
      <c r="G25" s="172" t="s">
        <v>364</v>
      </c>
      <c r="H25" s="172" t="s">
        <v>365</v>
      </c>
      <c r="I25" s="172" t="s">
        <v>426</v>
      </c>
      <c r="J25" s="174" t="s">
        <v>422</v>
      </c>
      <c r="K25" s="172" t="s">
        <v>427</v>
      </c>
      <c r="L25" s="172" t="s">
        <v>356</v>
      </c>
    </row>
    <row r="26" spans="1:12" ht="51" x14ac:dyDescent="0.25">
      <c r="A26" s="172">
        <v>50</v>
      </c>
      <c r="B26" s="172" t="s">
        <v>149</v>
      </c>
      <c r="C26" s="172" t="s">
        <v>148</v>
      </c>
      <c r="D26" s="172" t="s">
        <v>150</v>
      </c>
      <c r="E26" s="173">
        <v>44.70975</v>
      </c>
      <c r="F26" s="173">
        <v>10.608269999999999</v>
      </c>
      <c r="G26" s="172" t="s">
        <v>428</v>
      </c>
      <c r="H26" s="172" t="s">
        <v>370</v>
      </c>
      <c r="I26" s="172" t="s">
        <v>429</v>
      </c>
      <c r="J26" s="174" t="s">
        <v>430</v>
      </c>
      <c r="K26" s="172" t="s">
        <v>431</v>
      </c>
      <c r="L26" s="172" t="s">
        <v>356</v>
      </c>
    </row>
    <row r="27" spans="1:12" ht="38.25" x14ac:dyDescent="0.25">
      <c r="A27" s="172">
        <v>52</v>
      </c>
      <c r="B27" s="172" t="s">
        <v>156</v>
      </c>
      <c r="C27" s="172" t="s">
        <v>155</v>
      </c>
      <c r="D27" s="172" t="s">
        <v>157</v>
      </c>
      <c r="E27" s="173">
        <v>44.6982</v>
      </c>
      <c r="F27" s="173">
        <v>10.617800000000001</v>
      </c>
      <c r="G27" s="172" t="s">
        <v>369</v>
      </c>
      <c r="H27" s="172" t="s">
        <v>365</v>
      </c>
      <c r="I27" s="172" t="s">
        <v>432</v>
      </c>
      <c r="J27" s="174" t="s">
        <v>433</v>
      </c>
      <c r="K27" s="172" t="s">
        <v>434</v>
      </c>
      <c r="L27" s="172" t="s">
        <v>356</v>
      </c>
    </row>
    <row r="28" spans="1:12" ht="38.25" x14ac:dyDescent="0.25">
      <c r="A28" s="172">
        <v>53</v>
      </c>
      <c r="B28" s="172" t="s">
        <v>159</v>
      </c>
      <c r="C28" s="172" t="s">
        <v>158</v>
      </c>
      <c r="D28" s="172" t="s">
        <v>160</v>
      </c>
      <c r="E28" s="173">
        <v>44.709000000000003</v>
      </c>
      <c r="F28" s="173">
        <v>10.608700000000001</v>
      </c>
      <c r="G28" s="172" t="s">
        <v>369</v>
      </c>
      <c r="H28" s="172" t="s">
        <v>370</v>
      </c>
      <c r="I28" s="172" t="s">
        <v>435</v>
      </c>
      <c r="J28" s="174" t="s">
        <v>436</v>
      </c>
      <c r="K28" s="172" t="s">
        <v>437</v>
      </c>
      <c r="L28" s="172" t="s">
        <v>356</v>
      </c>
    </row>
    <row r="29" spans="1:12" ht="25.5" x14ac:dyDescent="0.25">
      <c r="A29" s="172">
        <v>56</v>
      </c>
      <c r="B29" s="172" t="s">
        <v>163</v>
      </c>
      <c r="C29" s="172" t="s">
        <v>162</v>
      </c>
      <c r="D29" s="172" t="s">
        <v>165</v>
      </c>
      <c r="E29" s="173">
        <v>44.700042000000003</v>
      </c>
      <c r="F29" s="173">
        <v>10.632056</v>
      </c>
      <c r="G29" s="172" t="s">
        <v>357</v>
      </c>
      <c r="H29" s="172" t="s">
        <v>352</v>
      </c>
      <c r="I29" s="172" t="s">
        <v>438</v>
      </c>
      <c r="J29" s="174" t="s">
        <v>439</v>
      </c>
      <c r="K29" s="172" t="s">
        <v>440</v>
      </c>
      <c r="L29" s="172" t="s">
        <v>356</v>
      </c>
    </row>
    <row r="30" spans="1:12" ht="25.5" x14ac:dyDescent="0.25">
      <c r="A30" s="172">
        <v>57</v>
      </c>
      <c r="B30" s="172" t="s">
        <v>163</v>
      </c>
      <c r="C30" s="172" t="s">
        <v>166</v>
      </c>
      <c r="D30" s="172"/>
      <c r="E30" s="173">
        <v>44.700042000000003</v>
      </c>
      <c r="F30" s="173">
        <v>10.632056</v>
      </c>
      <c r="G30" s="172" t="s">
        <v>441</v>
      </c>
      <c r="H30" s="172" t="s">
        <v>352</v>
      </c>
      <c r="I30" s="172" t="s">
        <v>442</v>
      </c>
      <c r="J30" s="174" t="s">
        <v>439</v>
      </c>
      <c r="K30" s="172" t="s">
        <v>443</v>
      </c>
      <c r="L30" s="172" t="s">
        <v>356</v>
      </c>
    </row>
    <row r="31" spans="1:12" ht="25.5" x14ac:dyDescent="0.25">
      <c r="A31" s="172">
        <v>62</v>
      </c>
      <c r="B31" s="172" t="s">
        <v>176</v>
      </c>
      <c r="C31" s="172" t="s">
        <v>175</v>
      </c>
      <c r="D31" s="172" t="s">
        <v>177</v>
      </c>
      <c r="E31" s="173">
        <v>44.6892</v>
      </c>
      <c r="F31" s="173">
        <v>10.724</v>
      </c>
      <c r="G31" s="172" t="s">
        <v>369</v>
      </c>
      <c r="H31" s="172" t="s">
        <v>370</v>
      </c>
      <c r="I31" s="172" t="s">
        <v>444</v>
      </c>
      <c r="J31" s="174" t="s">
        <v>382</v>
      </c>
      <c r="K31" s="172" t="s">
        <v>445</v>
      </c>
      <c r="L31" s="172" t="s">
        <v>356</v>
      </c>
    </row>
    <row r="32" spans="1:12" ht="38.25" x14ac:dyDescent="0.25">
      <c r="A32" s="172">
        <v>65</v>
      </c>
      <c r="B32" s="172" t="s">
        <v>180</v>
      </c>
      <c r="C32" s="172" t="s">
        <v>179</v>
      </c>
      <c r="D32" s="172" t="s">
        <v>181</v>
      </c>
      <c r="E32" s="173">
        <v>44.680999999999997</v>
      </c>
      <c r="F32" s="173">
        <v>10.6637</v>
      </c>
      <c r="G32" s="172" t="s">
        <v>401</v>
      </c>
      <c r="H32" s="172" t="s">
        <v>370</v>
      </c>
      <c r="I32" s="172" t="s">
        <v>446</v>
      </c>
      <c r="J32" s="174" t="s">
        <v>447</v>
      </c>
      <c r="K32" s="172" t="s">
        <v>448</v>
      </c>
      <c r="L32" s="172" t="s">
        <v>356</v>
      </c>
    </row>
    <row r="33" spans="1:12" ht="38.25" x14ac:dyDescent="0.25">
      <c r="A33" s="172">
        <v>66</v>
      </c>
      <c r="B33" s="172" t="s">
        <v>184</v>
      </c>
      <c r="C33" s="172" t="s">
        <v>183</v>
      </c>
      <c r="D33" s="172" t="s">
        <v>185</v>
      </c>
      <c r="E33" s="173">
        <v>44.69867</v>
      </c>
      <c r="F33" s="173">
        <v>10.61177</v>
      </c>
      <c r="G33" s="172" t="s">
        <v>357</v>
      </c>
      <c r="H33" s="172" t="s">
        <v>352</v>
      </c>
      <c r="I33" s="172" t="s">
        <v>449</v>
      </c>
      <c r="J33" s="174" t="s">
        <v>450</v>
      </c>
      <c r="K33" s="172" t="s">
        <v>451</v>
      </c>
      <c r="L33" s="172" t="s">
        <v>356</v>
      </c>
    </row>
    <row r="34" spans="1:12" ht="25.5" x14ac:dyDescent="0.25">
      <c r="A34" s="172">
        <v>67</v>
      </c>
      <c r="B34" s="172" t="s">
        <v>187</v>
      </c>
      <c r="C34" s="172" t="s">
        <v>186</v>
      </c>
      <c r="D34" s="172"/>
      <c r="E34" s="173">
        <v>44.698999999999998</v>
      </c>
      <c r="F34" s="173">
        <v>10.623900000000001</v>
      </c>
      <c r="G34" s="172" t="s">
        <v>357</v>
      </c>
      <c r="H34" s="172" t="s">
        <v>352</v>
      </c>
      <c r="I34" s="172" t="s">
        <v>452</v>
      </c>
      <c r="J34" s="174" t="s">
        <v>453</v>
      </c>
      <c r="K34" s="172" t="s">
        <v>454</v>
      </c>
      <c r="L34" s="172" t="s">
        <v>356</v>
      </c>
    </row>
    <row r="35" spans="1:12" ht="25.5" x14ac:dyDescent="0.25">
      <c r="A35" s="172">
        <v>68</v>
      </c>
      <c r="B35" s="172" t="s">
        <v>190</v>
      </c>
      <c r="C35" s="172" t="s">
        <v>189</v>
      </c>
      <c r="D35" s="172" t="s">
        <v>193</v>
      </c>
      <c r="E35" s="173">
        <v>44.7194</v>
      </c>
      <c r="F35" s="173">
        <v>10.6797</v>
      </c>
      <c r="G35" s="172" t="s">
        <v>369</v>
      </c>
      <c r="H35" s="172" t="s">
        <v>370</v>
      </c>
      <c r="I35" s="172" t="s">
        <v>455</v>
      </c>
      <c r="J35" s="174" t="s">
        <v>382</v>
      </c>
      <c r="K35" s="172" t="s">
        <v>456</v>
      </c>
      <c r="L35" s="172" t="s">
        <v>356</v>
      </c>
    </row>
    <row r="36" spans="1:12" ht="25.5" x14ac:dyDescent="0.25">
      <c r="A36" s="172">
        <v>69</v>
      </c>
      <c r="B36" s="172" t="s">
        <v>195</v>
      </c>
      <c r="C36" s="172" t="s">
        <v>194</v>
      </c>
      <c r="D36" s="172" t="s">
        <v>196</v>
      </c>
      <c r="E36" s="173">
        <v>44.72437</v>
      </c>
      <c r="F36" s="173">
        <v>10.63161</v>
      </c>
      <c r="G36" s="172" t="s">
        <v>364</v>
      </c>
      <c r="H36" s="172" t="s">
        <v>365</v>
      </c>
      <c r="I36" s="172" t="s">
        <v>457</v>
      </c>
      <c r="J36" s="174" t="s">
        <v>458</v>
      </c>
      <c r="K36" s="172" t="s">
        <v>459</v>
      </c>
      <c r="L36" s="172" t="s">
        <v>356</v>
      </c>
    </row>
    <row r="37" spans="1:12" ht="25.5" x14ac:dyDescent="0.25">
      <c r="A37" s="172">
        <v>70</v>
      </c>
      <c r="B37" s="172" t="s">
        <v>198</v>
      </c>
      <c r="C37" s="172" t="s">
        <v>197</v>
      </c>
      <c r="D37" s="172" t="s">
        <v>196</v>
      </c>
      <c r="E37" s="173">
        <v>44.72437</v>
      </c>
      <c r="F37" s="173">
        <v>10.63161</v>
      </c>
      <c r="G37" s="172" t="s">
        <v>364</v>
      </c>
      <c r="H37" s="172" t="s">
        <v>365</v>
      </c>
      <c r="I37" s="172" t="s">
        <v>457</v>
      </c>
      <c r="J37" s="174" t="s">
        <v>458</v>
      </c>
      <c r="K37" s="172" t="s">
        <v>459</v>
      </c>
      <c r="L37" s="172" t="s">
        <v>356</v>
      </c>
    </row>
    <row r="38" spans="1:12" ht="25.5" x14ac:dyDescent="0.25">
      <c r="A38" s="172">
        <v>71</v>
      </c>
      <c r="B38" s="172" t="s">
        <v>200</v>
      </c>
      <c r="C38" s="172" t="s">
        <v>199</v>
      </c>
      <c r="D38" s="172" t="s">
        <v>196</v>
      </c>
      <c r="E38" s="173">
        <v>44.72437</v>
      </c>
      <c r="F38" s="173">
        <v>10.63161</v>
      </c>
      <c r="G38" s="172" t="s">
        <v>364</v>
      </c>
      <c r="H38" s="172" t="s">
        <v>365</v>
      </c>
      <c r="I38" s="172" t="s">
        <v>457</v>
      </c>
      <c r="J38" s="174" t="s">
        <v>458</v>
      </c>
      <c r="K38" s="172" t="s">
        <v>459</v>
      </c>
      <c r="L38" s="172" t="s">
        <v>356</v>
      </c>
    </row>
    <row r="39" spans="1:12" ht="25.5" x14ac:dyDescent="0.25">
      <c r="A39" s="172">
        <v>72</v>
      </c>
      <c r="B39" s="172" t="s">
        <v>203</v>
      </c>
      <c r="C39" s="172" t="s">
        <v>202</v>
      </c>
      <c r="D39" s="172" t="s">
        <v>204</v>
      </c>
      <c r="E39" s="173">
        <v>44.6892</v>
      </c>
      <c r="F39" s="173">
        <v>10.724</v>
      </c>
      <c r="G39" s="172" t="s">
        <v>369</v>
      </c>
      <c r="H39" s="172" t="s">
        <v>370</v>
      </c>
      <c r="I39" s="172" t="s">
        <v>460</v>
      </c>
      <c r="J39" s="174" t="s">
        <v>382</v>
      </c>
      <c r="K39" s="172" t="s">
        <v>461</v>
      </c>
      <c r="L39" s="172" t="s">
        <v>356</v>
      </c>
    </row>
    <row r="40" spans="1:12" ht="25.5" x14ac:dyDescent="0.25">
      <c r="A40" s="172">
        <v>73</v>
      </c>
      <c r="B40" s="172" t="s">
        <v>206</v>
      </c>
      <c r="C40" s="172" t="s">
        <v>205</v>
      </c>
      <c r="D40" s="172" t="s">
        <v>207</v>
      </c>
      <c r="E40" s="173">
        <v>44.7288</v>
      </c>
      <c r="F40" s="173">
        <v>10.574199999999999</v>
      </c>
      <c r="G40" s="172" t="s">
        <v>377</v>
      </c>
      <c r="H40" s="172" t="s">
        <v>352</v>
      </c>
      <c r="I40" s="172" t="s">
        <v>462</v>
      </c>
      <c r="J40" s="174" t="s">
        <v>463</v>
      </c>
      <c r="K40" s="172" t="s">
        <v>464</v>
      </c>
      <c r="L40" s="172" t="s">
        <v>356</v>
      </c>
    </row>
    <row r="41" spans="1:12" ht="38.25" x14ac:dyDescent="0.25">
      <c r="A41" s="172">
        <v>76</v>
      </c>
      <c r="B41" s="172" t="s">
        <v>210</v>
      </c>
      <c r="C41" s="172" t="s">
        <v>209</v>
      </c>
      <c r="D41" s="172" t="s">
        <v>211</v>
      </c>
      <c r="E41" s="173">
        <v>44.685400000000001</v>
      </c>
      <c r="F41" s="173">
        <v>10.618</v>
      </c>
      <c r="G41" s="172" t="s">
        <v>357</v>
      </c>
      <c r="H41" s="172" t="s">
        <v>352</v>
      </c>
      <c r="I41" s="172" t="s">
        <v>465</v>
      </c>
      <c r="J41" s="174" t="s">
        <v>466</v>
      </c>
      <c r="K41" s="172" t="s">
        <v>467</v>
      </c>
      <c r="L41" s="172" t="s">
        <v>356</v>
      </c>
    </row>
    <row r="42" spans="1:12" ht="25.5" x14ac:dyDescent="0.25">
      <c r="A42" s="172">
        <v>80</v>
      </c>
      <c r="B42" s="172" t="s">
        <v>222</v>
      </c>
      <c r="C42" s="172" t="s">
        <v>221</v>
      </c>
      <c r="D42" s="172" t="s">
        <v>224</v>
      </c>
      <c r="E42" s="173">
        <v>44.701301000000001</v>
      </c>
      <c r="F42" s="173">
        <v>10.645153000000001</v>
      </c>
      <c r="G42" s="172" t="s">
        <v>357</v>
      </c>
      <c r="H42" s="172" t="s">
        <v>352</v>
      </c>
      <c r="I42" s="172" t="s">
        <v>468</v>
      </c>
      <c r="J42" s="174" t="s">
        <v>469</v>
      </c>
      <c r="K42" s="172" t="s">
        <v>470</v>
      </c>
      <c r="L42" s="172" t="s">
        <v>356</v>
      </c>
    </row>
    <row r="43" spans="1:12" ht="25.5" x14ac:dyDescent="0.25">
      <c r="A43" s="172">
        <v>81</v>
      </c>
      <c r="B43" s="172" t="s">
        <v>226</v>
      </c>
      <c r="C43" s="172" t="s">
        <v>225</v>
      </c>
      <c r="D43" s="172" t="s">
        <v>227</v>
      </c>
      <c r="E43" s="173">
        <v>44.701301000000001</v>
      </c>
      <c r="F43" s="173">
        <v>10.645153000000001</v>
      </c>
      <c r="G43" s="172" t="s">
        <v>357</v>
      </c>
      <c r="H43" s="172" t="s">
        <v>352</v>
      </c>
      <c r="I43" s="172" t="s">
        <v>468</v>
      </c>
      <c r="J43" s="174" t="s">
        <v>469</v>
      </c>
      <c r="K43" s="172" t="s">
        <v>471</v>
      </c>
      <c r="L43" s="172" t="s">
        <v>356</v>
      </c>
    </row>
    <row r="44" spans="1:12" ht="25.5" x14ac:dyDescent="0.25">
      <c r="A44" s="172">
        <v>84</v>
      </c>
      <c r="B44" s="172" t="s">
        <v>230</v>
      </c>
      <c r="C44" s="172" t="s">
        <v>229</v>
      </c>
      <c r="D44" s="172" t="s">
        <v>297</v>
      </c>
      <c r="E44" s="173">
        <v>44.69829</v>
      </c>
      <c r="F44" s="173">
        <v>10.634130000000001</v>
      </c>
      <c r="G44" s="172" t="s">
        <v>472</v>
      </c>
      <c r="H44" s="172" t="s">
        <v>473</v>
      </c>
      <c r="I44" s="172" t="s">
        <v>474</v>
      </c>
      <c r="J44" s="174" t="s">
        <v>466</v>
      </c>
      <c r="K44" s="172" t="s">
        <v>475</v>
      </c>
      <c r="L44" s="172" t="s">
        <v>356</v>
      </c>
    </row>
    <row r="45" spans="1:12" ht="25.5" x14ac:dyDescent="0.25">
      <c r="A45" s="172">
        <v>85</v>
      </c>
      <c r="B45" s="172" t="s">
        <v>233</v>
      </c>
      <c r="C45" s="172" t="s">
        <v>232</v>
      </c>
      <c r="D45" s="172" t="s">
        <v>298</v>
      </c>
      <c r="E45" s="173">
        <v>44.69829</v>
      </c>
      <c r="F45" s="173">
        <v>10.634130000000001</v>
      </c>
      <c r="G45" s="172" t="s">
        <v>472</v>
      </c>
      <c r="H45" s="172" t="s">
        <v>473</v>
      </c>
      <c r="I45" s="172" t="s">
        <v>474</v>
      </c>
      <c r="J45" s="174" t="s">
        <v>466</v>
      </c>
      <c r="K45" s="172" t="s">
        <v>475</v>
      </c>
      <c r="L45" s="172" t="s">
        <v>356</v>
      </c>
    </row>
    <row r="46" spans="1:12" ht="25.5" x14ac:dyDescent="0.25">
      <c r="A46" s="172">
        <v>86</v>
      </c>
      <c r="B46" s="172" t="s">
        <v>235</v>
      </c>
      <c r="C46" s="172" t="s">
        <v>234</v>
      </c>
      <c r="D46" s="172" t="s">
        <v>299</v>
      </c>
      <c r="E46" s="173">
        <v>44.69829</v>
      </c>
      <c r="F46" s="173">
        <v>10.634130000000001</v>
      </c>
      <c r="G46" s="172" t="s">
        <v>472</v>
      </c>
      <c r="H46" s="172" t="s">
        <v>473</v>
      </c>
      <c r="I46" s="172" t="s">
        <v>474</v>
      </c>
      <c r="J46" s="174" t="s">
        <v>466</v>
      </c>
      <c r="K46" s="172" t="s">
        <v>475</v>
      </c>
      <c r="L46" s="172" t="s">
        <v>356</v>
      </c>
    </row>
    <row r="47" spans="1:12" ht="25.5" x14ac:dyDescent="0.25">
      <c r="A47" s="172">
        <v>87</v>
      </c>
      <c r="B47" s="172" t="s">
        <v>237</v>
      </c>
      <c r="C47" s="172" t="s">
        <v>236</v>
      </c>
      <c r="D47" s="172" t="s">
        <v>300</v>
      </c>
      <c r="E47" s="173">
        <v>44.69829</v>
      </c>
      <c r="F47" s="173">
        <v>10.634130000000001</v>
      </c>
      <c r="G47" s="172" t="s">
        <v>472</v>
      </c>
      <c r="H47" s="172" t="s">
        <v>473</v>
      </c>
      <c r="I47" s="172" t="s">
        <v>474</v>
      </c>
      <c r="J47" s="174" t="s">
        <v>466</v>
      </c>
      <c r="K47" s="172" t="s">
        <v>475</v>
      </c>
      <c r="L47" s="172" t="s">
        <v>356</v>
      </c>
    </row>
    <row r="48" spans="1:12" ht="25.5" x14ac:dyDescent="0.25">
      <c r="A48" s="172">
        <v>88</v>
      </c>
      <c r="B48" s="172" t="s">
        <v>239</v>
      </c>
      <c r="C48" s="172" t="s">
        <v>238</v>
      </c>
      <c r="D48" s="172" t="s">
        <v>301</v>
      </c>
      <c r="E48" s="173">
        <v>44.69829</v>
      </c>
      <c r="F48" s="173">
        <v>10.634130000000001</v>
      </c>
      <c r="G48" s="172" t="s">
        <v>472</v>
      </c>
      <c r="H48" s="172" t="s">
        <v>473</v>
      </c>
      <c r="I48" s="172" t="s">
        <v>474</v>
      </c>
      <c r="J48" s="174" t="s">
        <v>466</v>
      </c>
      <c r="K48" s="172" t="s">
        <v>475</v>
      </c>
      <c r="L48" s="172" t="s">
        <v>356</v>
      </c>
    </row>
    <row r="49" spans="1:12" ht="25.5" x14ac:dyDescent="0.25">
      <c r="A49" s="172">
        <v>89</v>
      </c>
      <c r="B49" s="172" t="s">
        <v>241</v>
      </c>
      <c r="C49" s="172" t="s">
        <v>240</v>
      </c>
      <c r="D49" s="172" t="s">
        <v>302</v>
      </c>
      <c r="E49" s="173">
        <v>44.69829</v>
      </c>
      <c r="F49" s="173">
        <v>10.634130000000001</v>
      </c>
      <c r="G49" s="172" t="s">
        <v>472</v>
      </c>
      <c r="H49" s="172" t="s">
        <v>473</v>
      </c>
      <c r="I49" s="172" t="s">
        <v>474</v>
      </c>
      <c r="J49" s="174" t="s">
        <v>466</v>
      </c>
      <c r="K49" s="172" t="s">
        <v>475</v>
      </c>
      <c r="L49" s="172" t="s">
        <v>356</v>
      </c>
    </row>
    <row r="50" spans="1:12" ht="25.5" x14ac:dyDescent="0.25">
      <c r="A50" s="172">
        <v>90</v>
      </c>
      <c r="B50" s="172" t="s">
        <v>243</v>
      </c>
      <c r="C50" s="172" t="s">
        <v>242</v>
      </c>
      <c r="D50" s="172" t="s">
        <v>303</v>
      </c>
      <c r="E50" s="173">
        <v>44.69829</v>
      </c>
      <c r="F50" s="173">
        <v>10.634130000000001</v>
      </c>
      <c r="G50" s="172" t="s">
        <v>472</v>
      </c>
      <c r="H50" s="172" t="s">
        <v>473</v>
      </c>
      <c r="I50" s="172" t="s">
        <v>474</v>
      </c>
      <c r="J50" s="174" t="s">
        <v>466</v>
      </c>
      <c r="K50" s="172" t="s">
        <v>475</v>
      </c>
      <c r="L50" s="172" t="s">
        <v>356</v>
      </c>
    </row>
    <row r="51" spans="1:12" ht="38.25" x14ac:dyDescent="0.25">
      <c r="A51" s="172">
        <v>91</v>
      </c>
      <c r="B51" s="172" t="s">
        <v>245</v>
      </c>
      <c r="C51" s="172" t="s">
        <v>244</v>
      </c>
      <c r="D51" s="172" t="s">
        <v>304</v>
      </c>
      <c r="E51" s="173">
        <v>44.69829</v>
      </c>
      <c r="F51" s="173">
        <v>10.634130000000001</v>
      </c>
      <c r="G51" s="172" t="s">
        <v>472</v>
      </c>
      <c r="H51" s="172" t="s">
        <v>473</v>
      </c>
      <c r="I51" s="172" t="s">
        <v>474</v>
      </c>
      <c r="J51" s="174" t="s">
        <v>466</v>
      </c>
      <c r="K51" s="172" t="s">
        <v>475</v>
      </c>
      <c r="L51" s="172" t="s">
        <v>356</v>
      </c>
    </row>
    <row r="52" spans="1:12" ht="25.5" x14ac:dyDescent="0.25">
      <c r="A52" s="172">
        <v>92</v>
      </c>
      <c r="B52" s="172" t="s">
        <v>247</v>
      </c>
      <c r="C52" s="172" t="s">
        <v>246</v>
      </c>
      <c r="D52" s="172" t="s">
        <v>305</v>
      </c>
      <c r="E52" s="173">
        <v>44.69829</v>
      </c>
      <c r="F52" s="173">
        <v>10.634130000000001</v>
      </c>
      <c r="G52" s="172" t="s">
        <v>472</v>
      </c>
      <c r="H52" s="172" t="s">
        <v>473</v>
      </c>
      <c r="I52" s="172" t="s">
        <v>474</v>
      </c>
      <c r="J52" s="174" t="s">
        <v>466</v>
      </c>
      <c r="K52" s="172" t="s">
        <v>475</v>
      </c>
      <c r="L52" s="172" t="s">
        <v>356</v>
      </c>
    </row>
    <row r="53" spans="1:12" ht="25.5" x14ac:dyDescent="0.25">
      <c r="A53" s="172">
        <v>93</v>
      </c>
      <c r="B53" s="172" t="s">
        <v>249</v>
      </c>
      <c r="C53" s="172" t="s">
        <v>248</v>
      </c>
      <c r="D53" s="172" t="s">
        <v>306</v>
      </c>
      <c r="E53" s="173">
        <v>44.69829</v>
      </c>
      <c r="F53" s="173">
        <v>10.634130000000001</v>
      </c>
      <c r="G53" s="172" t="s">
        <v>472</v>
      </c>
      <c r="H53" s="172" t="s">
        <v>473</v>
      </c>
      <c r="I53" s="172" t="s">
        <v>474</v>
      </c>
      <c r="J53" s="174" t="s">
        <v>466</v>
      </c>
      <c r="K53" s="172" t="s">
        <v>475</v>
      </c>
      <c r="L53" s="172" t="s">
        <v>356</v>
      </c>
    </row>
    <row r="54" spans="1:12" ht="25.5" x14ac:dyDescent="0.25">
      <c r="A54" s="172">
        <v>94</v>
      </c>
      <c r="B54" s="172" t="s">
        <v>250</v>
      </c>
      <c r="C54" s="172" t="s">
        <v>296</v>
      </c>
      <c r="D54" s="172" t="s">
        <v>307</v>
      </c>
      <c r="E54" s="173">
        <v>44.69829</v>
      </c>
      <c r="F54" s="173">
        <v>10.634130000000001</v>
      </c>
      <c r="G54" s="172" t="s">
        <v>472</v>
      </c>
      <c r="H54" s="172" t="s">
        <v>473</v>
      </c>
      <c r="I54" s="172" t="s">
        <v>474</v>
      </c>
      <c r="J54" s="174" t="s">
        <v>466</v>
      </c>
      <c r="K54" s="172" t="s">
        <v>475</v>
      </c>
      <c r="L54" s="172" t="s">
        <v>356</v>
      </c>
    </row>
    <row r="55" spans="1:12" ht="25.5" x14ac:dyDescent="0.25">
      <c r="A55" s="172">
        <v>95</v>
      </c>
      <c r="B55" s="172" t="s">
        <v>252</v>
      </c>
      <c r="C55" s="172" t="s">
        <v>251</v>
      </c>
      <c r="D55" s="172" t="s">
        <v>308</v>
      </c>
      <c r="E55" s="173">
        <v>44.69829</v>
      </c>
      <c r="F55" s="173">
        <v>10.634130000000001</v>
      </c>
      <c r="G55" s="172" t="s">
        <v>472</v>
      </c>
      <c r="H55" s="172" t="s">
        <v>473</v>
      </c>
      <c r="I55" s="172" t="s">
        <v>474</v>
      </c>
      <c r="J55" s="174" t="s">
        <v>466</v>
      </c>
      <c r="K55" s="172" t="s">
        <v>475</v>
      </c>
      <c r="L55" s="172" t="s">
        <v>356</v>
      </c>
    </row>
    <row r="56" spans="1:12" ht="25.5" x14ac:dyDescent="0.25">
      <c r="A56" s="172">
        <v>97</v>
      </c>
      <c r="B56" s="172" t="s">
        <v>257</v>
      </c>
      <c r="C56" s="172" t="s">
        <v>256</v>
      </c>
      <c r="D56" s="172" t="s">
        <v>309</v>
      </c>
      <c r="E56" s="173">
        <v>44.69829</v>
      </c>
      <c r="F56" s="173">
        <v>10.634130000000001</v>
      </c>
      <c r="G56" s="172" t="s">
        <v>472</v>
      </c>
      <c r="H56" s="172" t="s">
        <v>473</v>
      </c>
      <c r="I56" s="172" t="s">
        <v>474</v>
      </c>
      <c r="J56" s="174" t="s">
        <v>466</v>
      </c>
      <c r="K56" s="172" t="s">
        <v>475</v>
      </c>
      <c r="L56" s="172" t="s">
        <v>356</v>
      </c>
    </row>
    <row r="57" spans="1:12" ht="25.5" x14ac:dyDescent="0.25">
      <c r="A57" s="172">
        <v>98</v>
      </c>
      <c r="B57" s="172" t="s">
        <v>294</v>
      </c>
      <c r="C57" s="172" t="s">
        <v>258</v>
      </c>
      <c r="D57" s="172" t="s">
        <v>310</v>
      </c>
      <c r="E57" s="173">
        <v>44.69829</v>
      </c>
      <c r="F57" s="173">
        <v>10.634130000000001</v>
      </c>
      <c r="G57" s="172" t="s">
        <v>472</v>
      </c>
      <c r="H57" s="172" t="s">
        <v>473</v>
      </c>
      <c r="I57" s="172" t="s">
        <v>474</v>
      </c>
      <c r="J57" s="174" t="s">
        <v>466</v>
      </c>
      <c r="K57" s="172" t="s">
        <v>475</v>
      </c>
      <c r="L57" s="172" t="s">
        <v>356</v>
      </c>
    </row>
    <row r="58" spans="1:12" ht="25.5" x14ac:dyDescent="0.25">
      <c r="A58" s="172">
        <v>99</v>
      </c>
      <c r="B58" s="172" t="s">
        <v>293</v>
      </c>
      <c r="C58" s="172" t="s">
        <v>259</v>
      </c>
      <c r="D58" s="172" t="s">
        <v>311</v>
      </c>
      <c r="E58" s="173">
        <v>44.69829</v>
      </c>
      <c r="F58" s="173">
        <v>10.634130000000001</v>
      </c>
      <c r="G58" s="172" t="s">
        <v>472</v>
      </c>
      <c r="H58" s="172" t="s">
        <v>473</v>
      </c>
      <c r="I58" s="172" t="s">
        <v>474</v>
      </c>
      <c r="J58" s="174" t="s">
        <v>466</v>
      </c>
      <c r="K58" s="172" t="s">
        <v>475</v>
      </c>
      <c r="L58" s="172" t="s">
        <v>356</v>
      </c>
    </row>
    <row r="59" spans="1:12" ht="25.5" x14ac:dyDescent="0.25">
      <c r="A59" s="172">
        <v>100</v>
      </c>
      <c r="B59" s="172" t="s">
        <v>292</v>
      </c>
      <c r="C59" s="172" t="s">
        <v>260</v>
      </c>
      <c r="D59" s="172" t="s">
        <v>312</v>
      </c>
      <c r="E59" s="173">
        <v>44.69829</v>
      </c>
      <c r="F59" s="173">
        <v>10.634130000000001</v>
      </c>
      <c r="G59" s="172" t="s">
        <v>472</v>
      </c>
      <c r="H59" s="172" t="s">
        <v>473</v>
      </c>
      <c r="I59" s="172" t="s">
        <v>474</v>
      </c>
      <c r="J59" s="174" t="s">
        <v>466</v>
      </c>
      <c r="K59" s="172" t="s">
        <v>475</v>
      </c>
      <c r="L59" s="172" t="s">
        <v>356</v>
      </c>
    </row>
    <row r="60" spans="1:12" ht="25.5" x14ac:dyDescent="0.25">
      <c r="A60" s="172">
        <v>101</v>
      </c>
      <c r="B60" s="172" t="s">
        <v>295</v>
      </c>
      <c r="C60" s="172" t="s">
        <v>291</v>
      </c>
      <c r="D60" s="172" t="s">
        <v>313</v>
      </c>
      <c r="E60" s="173">
        <v>44.69829</v>
      </c>
      <c r="F60" s="173">
        <v>10.634130000000001</v>
      </c>
      <c r="G60" s="172" t="s">
        <v>472</v>
      </c>
      <c r="H60" s="172" t="s">
        <v>473</v>
      </c>
      <c r="I60" s="172" t="s">
        <v>474</v>
      </c>
      <c r="J60" s="174" t="s">
        <v>466</v>
      </c>
      <c r="K60" s="172" t="s">
        <v>475</v>
      </c>
      <c r="L60" s="172" t="s">
        <v>356</v>
      </c>
    </row>
    <row r="61" spans="1:12" ht="25.5" x14ac:dyDescent="0.25">
      <c r="A61" s="172">
        <v>103</v>
      </c>
      <c r="B61" s="172" t="s">
        <v>262</v>
      </c>
      <c r="C61" s="172" t="s">
        <v>261</v>
      </c>
      <c r="D61" s="172"/>
      <c r="E61" s="173">
        <v>44.69829</v>
      </c>
      <c r="F61" s="173">
        <v>10.634130000000001</v>
      </c>
      <c r="G61" s="172" t="s">
        <v>472</v>
      </c>
      <c r="H61" s="172" t="s">
        <v>473</v>
      </c>
      <c r="I61" s="172" t="s">
        <v>474</v>
      </c>
      <c r="J61" s="174" t="s">
        <v>466</v>
      </c>
      <c r="K61" s="172" t="s">
        <v>476</v>
      </c>
      <c r="L61" s="172" t="s">
        <v>356</v>
      </c>
    </row>
    <row r="62" spans="1:12" ht="25.5" x14ac:dyDescent="0.25">
      <c r="A62" s="172">
        <v>105</v>
      </c>
      <c r="B62" s="172" t="s">
        <v>264</v>
      </c>
      <c r="C62" s="172" t="s">
        <v>263</v>
      </c>
      <c r="D62" s="172" t="s">
        <v>267</v>
      </c>
      <c r="E62" s="173">
        <v>44.704500000000003</v>
      </c>
      <c r="F62" s="173">
        <v>10.65982</v>
      </c>
      <c r="G62" s="172" t="s">
        <v>357</v>
      </c>
      <c r="H62" s="172" t="s">
        <v>352</v>
      </c>
      <c r="I62" s="172" t="s">
        <v>477</v>
      </c>
      <c r="J62" s="174" t="s">
        <v>450</v>
      </c>
      <c r="K62" s="172" t="s">
        <v>478</v>
      </c>
      <c r="L62" s="172" t="s">
        <v>356</v>
      </c>
    </row>
    <row r="63" spans="1:12" ht="25.5" x14ac:dyDescent="0.25">
      <c r="A63" s="172">
        <v>107</v>
      </c>
      <c r="B63" s="172" t="s">
        <v>269</v>
      </c>
      <c r="C63" s="172" t="s">
        <v>268</v>
      </c>
      <c r="D63" s="172" t="s">
        <v>272</v>
      </c>
      <c r="E63" s="173">
        <v>44.6995</v>
      </c>
      <c r="F63" s="173">
        <v>10.6426</v>
      </c>
      <c r="G63" s="172" t="s">
        <v>479</v>
      </c>
      <c r="H63" s="172" t="s">
        <v>352</v>
      </c>
      <c r="I63" s="172" t="s">
        <v>480</v>
      </c>
      <c r="J63" s="174" t="s">
        <v>481</v>
      </c>
      <c r="K63" s="172" t="s">
        <v>482</v>
      </c>
      <c r="L63" s="172" t="s">
        <v>356</v>
      </c>
    </row>
    <row r="64" spans="1:12" ht="38.25" x14ac:dyDescent="0.25">
      <c r="A64" s="172">
        <v>116</v>
      </c>
      <c r="B64" s="172" t="s">
        <v>149</v>
      </c>
      <c r="C64" s="172" t="s">
        <v>285</v>
      </c>
      <c r="D64" s="172"/>
      <c r="E64" s="173">
        <v>44.70975</v>
      </c>
      <c r="F64" s="173">
        <v>10.608269999999999</v>
      </c>
      <c r="G64" s="172" t="s">
        <v>441</v>
      </c>
      <c r="H64" s="172" t="s">
        <v>370</v>
      </c>
      <c r="I64" s="172" t="s">
        <v>483</v>
      </c>
      <c r="J64" s="174" t="s">
        <v>430</v>
      </c>
      <c r="K64" s="172" t="s">
        <v>484</v>
      </c>
      <c r="L64" s="172" t="s">
        <v>356</v>
      </c>
    </row>
    <row r="65" spans="1:12" ht="25.5" x14ac:dyDescent="0.25">
      <c r="A65" s="172">
        <v>120</v>
      </c>
      <c r="B65" s="172" t="s">
        <v>156</v>
      </c>
      <c r="C65" s="172" t="s">
        <v>289</v>
      </c>
      <c r="D65" s="172"/>
      <c r="E65" s="173">
        <v>44.6982</v>
      </c>
      <c r="F65" s="173">
        <v>10.617800000000001</v>
      </c>
      <c r="G65" s="172" t="s">
        <v>441</v>
      </c>
      <c r="H65" s="172" t="s">
        <v>365</v>
      </c>
      <c r="I65" s="172" t="s">
        <v>485</v>
      </c>
      <c r="J65" s="174" t="s">
        <v>433</v>
      </c>
      <c r="K65" s="172" t="s">
        <v>486</v>
      </c>
      <c r="L65" s="172" t="s">
        <v>356</v>
      </c>
    </row>
    <row r="66" spans="1:12" ht="25.5" x14ac:dyDescent="0.25">
      <c r="A66" s="172">
        <v>121</v>
      </c>
      <c r="B66" s="172" t="s">
        <v>159</v>
      </c>
      <c r="C66" s="172" t="s">
        <v>290</v>
      </c>
      <c r="D66" s="172"/>
      <c r="E66" s="173">
        <v>44.709000000000003</v>
      </c>
      <c r="F66" s="173">
        <v>10.608700000000001</v>
      </c>
      <c r="G66" s="172" t="s">
        <v>441</v>
      </c>
      <c r="H66" s="172" t="s">
        <v>370</v>
      </c>
      <c r="I66" s="172" t="s">
        <v>487</v>
      </c>
      <c r="J66" s="174" t="s">
        <v>436</v>
      </c>
      <c r="K66" s="172" t="s">
        <v>488</v>
      </c>
      <c r="L66" s="172" t="s">
        <v>356</v>
      </c>
    </row>
    <row r="67" spans="1:12" ht="38.25" x14ac:dyDescent="0.2">
      <c r="A67" s="172">
        <v>49</v>
      </c>
      <c r="B67" s="172" t="s">
        <v>145</v>
      </c>
      <c r="C67" s="172" t="s">
        <v>144</v>
      </c>
      <c r="D67" s="172" t="s">
        <v>147</v>
      </c>
      <c r="E67" s="173"/>
      <c r="F67" s="173"/>
      <c r="G67" s="172" t="s">
        <v>489</v>
      </c>
      <c r="H67" s="172" t="s">
        <v>490</v>
      </c>
      <c r="I67" s="172" t="s">
        <v>491</v>
      </c>
      <c r="J67" s="172"/>
      <c r="K67" s="172" t="s">
        <v>492</v>
      </c>
      <c r="L67" s="172" t="s">
        <v>493</v>
      </c>
    </row>
    <row r="68" spans="1:12" ht="63.75" x14ac:dyDescent="0.2">
      <c r="A68" s="172">
        <v>51</v>
      </c>
      <c r="B68" s="172" t="s">
        <v>152</v>
      </c>
      <c r="C68" s="172" t="s">
        <v>151</v>
      </c>
      <c r="D68" s="172" t="s">
        <v>154</v>
      </c>
      <c r="E68" s="173"/>
      <c r="F68" s="173"/>
      <c r="G68" s="172" t="s">
        <v>494</v>
      </c>
      <c r="H68" s="172" t="s">
        <v>490</v>
      </c>
      <c r="I68" s="172" t="s">
        <v>491</v>
      </c>
      <c r="J68" s="172"/>
      <c r="K68" s="172" t="s">
        <v>495</v>
      </c>
      <c r="L68" s="172" t="s">
        <v>493</v>
      </c>
    </row>
    <row r="69" spans="1:12" ht="25.5" x14ac:dyDescent="0.2">
      <c r="A69" s="172">
        <v>77</v>
      </c>
      <c r="B69" s="172" t="s">
        <v>213</v>
      </c>
      <c r="C69" s="172" t="s">
        <v>212</v>
      </c>
      <c r="D69" s="172" t="s">
        <v>215</v>
      </c>
      <c r="E69" s="173"/>
      <c r="F69" s="173"/>
      <c r="G69" s="172" t="s">
        <v>496</v>
      </c>
      <c r="H69" s="172" t="s">
        <v>490</v>
      </c>
      <c r="I69" s="172" t="s">
        <v>491</v>
      </c>
      <c r="J69" s="172"/>
      <c r="K69" s="172" t="s">
        <v>497</v>
      </c>
      <c r="L69" s="172" t="s">
        <v>493</v>
      </c>
    </row>
    <row r="70" spans="1:12" ht="76.5" x14ac:dyDescent="0.2">
      <c r="A70" s="172">
        <v>78</v>
      </c>
      <c r="B70" s="172" t="s">
        <v>217</v>
      </c>
      <c r="C70" s="172" t="s">
        <v>216</v>
      </c>
      <c r="D70" s="172" t="s">
        <v>498</v>
      </c>
      <c r="E70" s="173"/>
      <c r="F70" s="173"/>
      <c r="G70" s="172" t="s">
        <v>496</v>
      </c>
      <c r="H70" s="172" t="s">
        <v>490</v>
      </c>
      <c r="I70" s="172" t="s">
        <v>491</v>
      </c>
      <c r="J70" s="172"/>
      <c r="K70" s="172" t="s">
        <v>499</v>
      </c>
      <c r="L70" s="172" t="s">
        <v>493</v>
      </c>
    </row>
    <row r="71" spans="1:12" ht="63.75" x14ac:dyDescent="0.2">
      <c r="A71" s="172">
        <v>79</v>
      </c>
      <c r="B71" s="172" t="s">
        <v>219</v>
      </c>
      <c r="C71" s="172" t="s">
        <v>218</v>
      </c>
      <c r="D71" s="172" t="s">
        <v>220</v>
      </c>
      <c r="E71" s="173"/>
      <c r="F71" s="173"/>
      <c r="G71" s="172" t="s">
        <v>496</v>
      </c>
      <c r="H71" s="172" t="s">
        <v>490</v>
      </c>
      <c r="I71" s="172" t="s">
        <v>491</v>
      </c>
      <c r="J71" s="172"/>
      <c r="K71" s="172" t="s">
        <v>500</v>
      </c>
      <c r="L71" s="172" t="s">
        <v>493</v>
      </c>
    </row>
    <row r="72" spans="1:12" ht="25.5" x14ac:dyDescent="0.2">
      <c r="A72" s="172">
        <v>96</v>
      </c>
      <c r="B72" s="172" t="s">
        <v>254</v>
      </c>
      <c r="C72" s="172" t="s">
        <v>253</v>
      </c>
      <c r="D72" s="172" t="s">
        <v>314</v>
      </c>
      <c r="E72" s="173"/>
      <c r="F72" s="173"/>
      <c r="G72" s="172" t="s">
        <v>501</v>
      </c>
      <c r="H72" s="172" t="s">
        <v>490</v>
      </c>
      <c r="I72" s="172" t="s">
        <v>491</v>
      </c>
      <c r="J72" s="172"/>
      <c r="K72" s="172" t="s">
        <v>502</v>
      </c>
      <c r="L72" s="172" t="s">
        <v>493</v>
      </c>
    </row>
    <row r="73" spans="1:12" ht="38.25" x14ac:dyDescent="0.2">
      <c r="A73" s="172">
        <v>110</v>
      </c>
      <c r="B73" s="172" t="s">
        <v>276</v>
      </c>
      <c r="C73" s="172" t="s">
        <v>275</v>
      </c>
      <c r="D73" s="172"/>
      <c r="E73" s="173"/>
      <c r="F73" s="173"/>
      <c r="G73" s="172" t="s">
        <v>503</v>
      </c>
      <c r="H73" s="172" t="s">
        <v>490</v>
      </c>
      <c r="I73" s="172" t="s">
        <v>491</v>
      </c>
      <c r="J73" s="172"/>
      <c r="K73" s="172" t="s">
        <v>504</v>
      </c>
      <c r="L73" s="172" t="s">
        <v>493</v>
      </c>
    </row>
    <row r="74" spans="1:12" ht="25.5" x14ac:dyDescent="0.2">
      <c r="A74" s="172">
        <v>111</v>
      </c>
      <c r="B74" s="172" t="s">
        <v>145</v>
      </c>
      <c r="C74" s="172" t="s">
        <v>278</v>
      </c>
      <c r="D74" s="172"/>
      <c r="E74" s="173"/>
      <c r="F74" s="173"/>
      <c r="G74" s="172" t="s">
        <v>505</v>
      </c>
      <c r="H74" s="172" t="s">
        <v>490</v>
      </c>
      <c r="I74" s="172" t="s">
        <v>491</v>
      </c>
      <c r="J74" s="172"/>
      <c r="K74" s="172" t="s">
        <v>506</v>
      </c>
      <c r="L74" s="172" t="s">
        <v>493</v>
      </c>
    </row>
    <row r="75" spans="1:12" ht="38.25" x14ac:dyDescent="0.2">
      <c r="A75" s="172">
        <v>112</v>
      </c>
      <c r="B75" s="172" t="s">
        <v>280</v>
      </c>
      <c r="C75" s="172" t="s">
        <v>279</v>
      </c>
      <c r="D75" s="172"/>
      <c r="E75" s="173"/>
      <c r="F75" s="173"/>
      <c r="G75" s="172" t="s">
        <v>503</v>
      </c>
      <c r="H75" s="172" t="s">
        <v>490</v>
      </c>
      <c r="I75" s="172" t="s">
        <v>491</v>
      </c>
      <c r="J75" s="172"/>
      <c r="K75" s="172" t="s">
        <v>507</v>
      </c>
      <c r="L75" s="172" t="s">
        <v>493</v>
      </c>
    </row>
    <row r="76" spans="1:12" ht="25.5" x14ac:dyDescent="0.2">
      <c r="A76" s="172">
        <v>113</v>
      </c>
      <c r="B76" s="172" t="s">
        <v>282</v>
      </c>
      <c r="C76" s="172" t="s">
        <v>281</v>
      </c>
      <c r="D76" s="172"/>
      <c r="E76" s="173"/>
      <c r="F76" s="173"/>
      <c r="G76" s="172" t="s">
        <v>503</v>
      </c>
      <c r="H76" s="172" t="s">
        <v>490</v>
      </c>
      <c r="I76" s="172" t="s">
        <v>491</v>
      </c>
      <c r="J76" s="172"/>
      <c r="K76" s="172" t="s">
        <v>508</v>
      </c>
      <c r="L76" s="172" t="s">
        <v>493</v>
      </c>
    </row>
    <row r="77" spans="1:12" ht="51" x14ac:dyDescent="0.2">
      <c r="A77" s="172">
        <v>117</v>
      </c>
      <c r="B77" s="172" t="s">
        <v>152</v>
      </c>
      <c r="C77" s="172" t="s">
        <v>286</v>
      </c>
      <c r="D77" s="172"/>
      <c r="E77" s="173"/>
      <c r="F77" s="173"/>
      <c r="G77" s="172" t="s">
        <v>494</v>
      </c>
      <c r="H77" s="172" t="s">
        <v>490</v>
      </c>
      <c r="I77" s="172" t="s">
        <v>491</v>
      </c>
      <c r="J77" s="172"/>
      <c r="K77" s="172" t="s">
        <v>509</v>
      </c>
      <c r="L77" s="172" t="s">
        <v>493</v>
      </c>
    </row>
    <row r="78" spans="1:12" ht="38.25" x14ac:dyDescent="0.2">
      <c r="A78" s="172">
        <v>109</v>
      </c>
      <c r="B78" s="172" t="s">
        <v>274</v>
      </c>
      <c r="C78" s="172" t="s">
        <v>273</v>
      </c>
      <c r="D78" s="172"/>
      <c r="E78" s="173"/>
      <c r="F78" s="173"/>
      <c r="G78" s="172" t="s">
        <v>510</v>
      </c>
      <c r="H78" s="172" t="s">
        <v>490</v>
      </c>
      <c r="I78" s="172" t="s">
        <v>511</v>
      </c>
      <c r="J78" s="172"/>
      <c r="K78" s="172" t="s">
        <v>512</v>
      </c>
      <c r="L78" s="172" t="s">
        <v>493</v>
      </c>
    </row>
    <row r="79" spans="1:12" x14ac:dyDescent="0.2">
      <c r="A79" s="172">
        <v>115</v>
      </c>
      <c r="B79" s="172" t="s">
        <v>284</v>
      </c>
      <c r="C79" s="172" t="s">
        <v>283</v>
      </c>
      <c r="D79" s="172"/>
      <c r="E79" s="173"/>
      <c r="F79" s="173"/>
      <c r="G79" s="172" t="s">
        <v>510</v>
      </c>
      <c r="H79" s="172" t="s">
        <v>490</v>
      </c>
      <c r="I79" s="172" t="s">
        <v>511</v>
      </c>
      <c r="J79" s="172"/>
      <c r="K79" s="172" t="s">
        <v>512</v>
      </c>
      <c r="L79" s="172" t="s">
        <v>493</v>
      </c>
    </row>
    <row r="80" spans="1:12" ht="25.5" x14ac:dyDescent="0.2">
      <c r="A80" s="172">
        <v>119</v>
      </c>
      <c r="B80" s="172" t="s">
        <v>288</v>
      </c>
      <c r="C80" s="172" t="s">
        <v>287</v>
      </c>
      <c r="D80" s="172"/>
      <c r="E80" s="173"/>
      <c r="F80" s="173"/>
      <c r="G80" s="172" t="s">
        <v>510</v>
      </c>
      <c r="H80" s="172" t="s">
        <v>490</v>
      </c>
      <c r="I80" s="172" t="s">
        <v>511</v>
      </c>
      <c r="J80" s="172"/>
      <c r="K80" s="172" t="s">
        <v>512</v>
      </c>
      <c r="L80" s="172" t="s">
        <v>493</v>
      </c>
    </row>
    <row r="81" spans="1:12" x14ac:dyDescent="0.2">
      <c r="A81" s="172"/>
      <c r="B81" s="172"/>
      <c r="C81" s="172"/>
      <c r="D81" s="172"/>
      <c r="E81" s="173"/>
      <c r="F81" s="173"/>
      <c r="G81" s="172"/>
      <c r="H81" s="172"/>
      <c r="I81" s="172"/>
      <c r="J81" s="172"/>
      <c r="K81" s="172"/>
      <c r="L81" s="172"/>
    </row>
    <row r="82" spans="1:12" ht="25.5" x14ac:dyDescent="0.2">
      <c r="A82" s="175" t="s">
        <v>513</v>
      </c>
      <c r="B82" s="172"/>
      <c r="C82" s="172"/>
      <c r="D82" s="172"/>
      <c r="E82" s="173"/>
      <c r="F82" s="173"/>
      <c r="G82" s="172"/>
      <c r="H82" s="172"/>
      <c r="I82" s="172"/>
      <c r="J82" s="172"/>
      <c r="K82" s="172"/>
      <c r="L82" s="172"/>
    </row>
    <row r="83" spans="1:12" ht="76.5" x14ac:dyDescent="0.2">
      <c r="A83" s="176" t="s">
        <v>352</v>
      </c>
      <c r="B83" s="172" t="s">
        <v>514</v>
      </c>
      <c r="C83" s="172"/>
      <c r="D83" s="172"/>
      <c r="E83" s="173"/>
      <c r="F83" s="173"/>
      <c r="G83" s="172"/>
      <c r="H83" s="172"/>
      <c r="I83" s="172"/>
      <c r="J83" s="172"/>
      <c r="K83" s="172"/>
      <c r="L83" s="172"/>
    </row>
    <row r="84" spans="1:12" ht="76.5" x14ac:dyDescent="0.2">
      <c r="A84" s="176" t="s">
        <v>370</v>
      </c>
      <c r="B84" s="172" t="s">
        <v>515</v>
      </c>
      <c r="C84" s="172"/>
      <c r="D84" s="172"/>
      <c r="E84" s="173"/>
      <c r="F84" s="173"/>
      <c r="G84" s="172"/>
      <c r="H84" s="172"/>
      <c r="I84" s="172"/>
      <c r="J84" s="172"/>
      <c r="K84" s="172"/>
      <c r="L84" s="172"/>
    </row>
    <row r="85" spans="1:12" ht="63.75" x14ac:dyDescent="0.2">
      <c r="A85" s="176" t="s">
        <v>365</v>
      </c>
      <c r="B85" s="172" t="s">
        <v>516</v>
      </c>
      <c r="C85" s="172"/>
      <c r="D85" s="172"/>
      <c r="E85" s="173"/>
      <c r="F85" s="173"/>
      <c r="G85" s="172"/>
      <c r="H85" s="172"/>
      <c r="I85" s="172"/>
      <c r="J85" s="172"/>
      <c r="K85" s="172"/>
      <c r="L85" s="172"/>
    </row>
    <row r="86" spans="1:12" ht="89.25" x14ac:dyDescent="0.2">
      <c r="A86" s="176" t="s">
        <v>473</v>
      </c>
      <c r="B86" s="172" t="s">
        <v>517</v>
      </c>
      <c r="C86" s="172"/>
      <c r="D86" s="172"/>
      <c r="E86" s="173"/>
      <c r="F86" s="173"/>
      <c r="G86" s="172"/>
      <c r="H86" s="172"/>
      <c r="I86" s="172"/>
      <c r="J86" s="172"/>
      <c r="K86" s="172"/>
      <c r="L86" s="172"/>
    </row>
  </sheetData>
  <autoFilter ref="A1:L80" xr:uid="{00000000-0009-0000-0000-000001000000}"/>
  <hyperlinks>
    <hyperlink ref="J2" r:id="rId1" xr:uid="{31771B17-EDCF-4062-8356-CDB94FB94DE4}"/>
    <hyperlink ref="J3" r:id="rId2" xr:uid="{19E973DB-8EBF-4C3B-818A-D5F6F1689169}"/>
    <hyperlink ref="J4" r:id="rId3" xr:uid="{ED91E140-AC50-4415-BD15-3DC9F787519A}"/>
    <hyperlink ref="J5" r:id="rId4" xr:uid="{AD7C0FB7-CA2B-4EBF-9F04-B74543666795}"/>
    <hyperlink ref="J6" r:id="rId5" xr:uid="{BE765565-B591-4817-9367-0705AAC2ADD7}"/>
    <hyperlink ref="J7" r:id="rId6" xr:uid="{B3D814F3-3E41-4B22-85B6-9A4E3DF60DD6}"/>
    <hyperlink ref="J8" r:id="rId7" xr:uid="{4131C842-FD98-4EE7-8B1D-74C8316098B2}"/>
    <hyperlink ref="J9" r:id="rId8" xr:uid="{CA9641EC-740A-4195-A123-6F5F7D488874}"/>
    <hyperlink ref="J10" r:id="rId9" xr:uid="{C0CD4C7C-0B36-4A6E-BDB3-0AFD401B178E}"/>
    <hyperlink ref="J11" r:id="rId10" xr:uid="{2C820ABA-BC1C-4F46-9908-CA21572FF3AD}"/>
    <hyperlink ref="J12" r:id="rId11" xr:uid="{870DDCFF-F2C8-4C30-B15A-8E034C0FC55E}"/>
    <hyperlink ref="J13" r:id="rId12" xr:uid="{C9F89126-15C6-470D-9CFC-E02C31751473}"/>
    <hyperlink ref="J14" r:id="rId13" xr:uid="{55E81BB0-1557-474D-B194-9FA91254C7E4}"/>
    <hyperlink ref="J15" r:id="rId14" xr:uid="{119E8874-27F0-4112-94B1-4C22C58B16CB}"/>
    <hyperlink ref="J16" r:id="rId15" xr:uid="{B8F2D115-4A67-4B7B-9244-F7BF881B65BC}"/>
    <hyperlink ref="J17" r:id="rId16" xr:uid="{18B3B0E5-4C21-4559-8250-C1A73E61A568}"/>
    <hyperlink ref="J18" r:id="rId17" xr:uid="{F79F8B5A-0CF4-4BA7-A071-7FCD1CCF1AD9}"/>
    <hyperlink ref="J19" r:id="rId18" xr:uid="{260B5F62-E43A-47DC-B536-50288D3D3359}"/>
    <hyperlink ref="J20" r:id="rId19" xr:uid="{9FF03B26-8AF0-4C8C-A19F-E772D695BCA9}"/>
    <hyperlink ref="J21" r:id="rId20" xr:uid="{7AA81C4D-760A-4C22-BBAE-98AB4F8E8B8F}"/>
    <hyperlink ref="J22" r:id="rId21" xr:uid="{C42BAC50-8A27-4506-AECA-1C00982BFC61}"/>
    <hyperlink ref="J23" r:id="rId22" xr:uid="{CE3DFF77-9FB5-45A5-92A5-C43F204B1798}"/>
    <hyperlink ref="J24" r:id="rId23" xr:uid="{B15252F5-9359-42D4-BEA7-D904D075756F}"/>
    <hyperlink ref="J25" r:id="rId24" xr:uid="{A708147F-B83F-497D-B3FC-8B46B3D93F7A}"/>
    <hyperlink ref="J26" r:id="rId25" xr:uid="{6067BDD4-523F-47EA-B4F5-848C8A54E86C}"/>
    <hyperlink ref="J27" r:id="rId26" xr:uid="{9E7C2DDD-5D35-493C-BF14-C270DDB44B4A}"/>
    <hyperlink ref="J28" r:id="rId27" xr:uid="{D64B5626-C1D4-4E3C-A46B-BF426858AEF8}"/>
    <hyperlink ref="J29" r:id="rId28" xr:uid="{4AE6FDD9-BD05-4ADA-8A5A-478665CAF331}"/>
    <hyperlink ref="J30" r:id="rId29" xr:uid="{CF9D07DE-C68B-442E-AC5B-5C178F886766}"/>
    <hyperlink ref="J31" r:id="rId30" xr:uid="{ECD161EC-AC56-4510-B01F-BE745BA5FB72}"/>
    <hyperlink ref="J32" r:id="rId31" xr:uid="{764D6E53-466D-412D-A3A5-2C2C388ECA6C}"/>
    <hyperlink ref="J33" r:id="rId32" xr:uid="{46720BDC-23CF-4A7E-AF13-A1D5F4481ACA}"/>
    <hyperlink ref="J34" r:id="rId33" xr:uid="{3CC9BD17-EFA5-467D-BDE0-CB10F6240750}"/>
    <hyperlink ref="J35" r:id="rId34" xr:uid="{0160DB61-C6CF-4A3A-BC3B-AFA928549B5E}"/>
    <hyperlink ref="J36" r:id="rId35" xr:uid="{F78CDBC1-AC02-45F5-B049-D598DEAE0D9D}"/>
    <hyperlink ref="J37" r:id="rId36" xr:uid="{11989A91-EF9F-4E55-A8BC-699A6906709D}"/>
    <hyperlink ref="J38" r:id="rId37" xr:uid="{0745AFA6-C3A9-4FF6-AD3E-FD9A20C896FF}"/>
    <hyperlink ref="J39" r:id="rId38" xr:uid="{63EB6BDF-E5AC-4B84-AF0F-A3FF5E5D2F64}"/>
    <hyperlink ref="J40" r:id="rId39" xr:uid="{8C80D280-1F1D-4404-9AB7-2E444593A341}"/>
    <hyperlink ref="J41" r:id="rId40" xr:uid="{0754812E-FA8F-4C11-BB38-C87A318A28D6}"/>
    <hyperlink ref="J42" r:id="rId41" xr:uid="{1757C3D7-823E-4BBB-BCFD-FE5F7A940645}"/>
    <hyperlink ref="J43" r:id="rId42" xr:uid="{F140E6A2-7FB3-4668-BC5E-F7B8CD85A78A}"/>
    <hyperlink ref="J44" r:id="rId43" xr:uid="{9BA8D643-4549-410D-AA49-407A5F3247D2}"/>
    <hyperlink ref="J45" r:id="rId44" xr:uid="{0517FCBF-8B12-430E-B194-A49C1ACFF364}"/>
    <hyperlink ref="J46" r:id="rId45" xr:uid="{A6B100EA-7BB3-47F1-87AF-8087949C7DE1}"/>
    <hyperlink ref="J47" r:id="rId46" xr:uid="{F9CAC203-4280-4A91-AFE7-711F1BC9344D}"/>
    <hyperlink ref="J48" r:id="rId47" xr:uid="{4F275412-6E94-47F2-87B6-CF42EA13D226}"/>
    <hyperlink ref="J49" r:id="rId48" xr:uid="{9E26B274-E05B-4AC5-A2D8-C0FD8A273887}"/>
    <hyperlink ref="J50" r:id="rId49" xr:uid="{78150493-A2BF-42ED-86C4-7775C136E31F}"/>
    <hyperlink ref="J51" r:id="rId50" xr:uid="{FFE364C6-497C-4597-8037-3428DE079ABF}"/>
    <hyperlink ref="J52" r:id="rId51" xr:uid="{BDD26E5E-EEB6-497E-9696-9328D55DB9DA}"/>
    <hyperlink ref="J53" r:id="rId52" xr:uid="{4DF7E341-79C8-452E-8421-6BAFE6BD02E8}"/>
    <hyperlink ref="J54" r:id="rId53" xr:uid="{ACAE3452-1A63-4DF6-B32B-AE461A2A4F49}"/>
    <hyperlink ref="J55" r:id="rId54" xr:uid="{517E4EF2-7344-4906-94B2-BF1C71C83790}"/>
    <hyperlink ref="J56" r:id="rId55" xr:uid="{5487D985-14B7-422B-B6B1-4FFA4EBDC97D}"/>
    <hyperlink ref="J57" r:id="rId56" xr:uid="{ECB4BCDD-F3D0-4040-8628-901CB4B84660}"/>
    <hyperlink ref="J58" r:id="rId57" xr:uid="{9C230CA3-CDC7-43D8-BB06-60FB16A0AB72}"/>
    <hyperlink ref="J59" r:id="rId58" xr:uid="{A3164040-D571-40A6-8E58-A0468C334973}"/>
    <hyperlink ref="J60" r:id="rId59" xr:uid="{F1EC2D89-0E4E-4399-8CB2-871E55F754C3}"/>
    <hyperlink ref="J61" r:id="rId60" xr:uid="{83045EBB-B0D3-49DC-BE34-92503AD6B885}"/>
    <hyperlink ref="J62" r:id="rId61" xr:uid="{7148EDDC-F2B8-4428-9194-441C3BF74C30}"/>
    <hyperlink ref="J63" r:id="rId62" xr:uid="{CC16FC1D-4B44-4EAC-A8F1-DAC2B5C04AA0}"/>
    <hyperlink ref="J64" r:id="rId63" xr:uid="{81EAA7EB-13D8-4A4F-B04D-CA4986C759C2}"/>
    <hyperlink ref="J65" r:id="rId64" xr:uid="{D35D2D73-82ED-457A-BFFA-0F0912FA3DD4}"/>
    <hyperlink ref="J66" r:id="rId65" xr:uid="{F0807F51-A0C4-40B1-B1A6-F0A1F4852513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3</vt:i4>
      </vt:variant>
    </vt:vector>
  </HeadingPairs>
  <TitlesOfParts>
    <vt:vector size="5" baseType="lpstr">
      <vt:lpstr>Monitoraggio PNRR</vt:lpstr>
      <vt:lpstr>coordinate</vt:lpstr>
      <vt:lpstr>'Monitoraggio PNRR'!Area_stampa</vt:lpstr>
      <vt:lpstr>'Monitoraggio PNRR'!Excel_BuiltIn__FilterDatabase</vt:lpstr>
      <vt:lpstr>'Monitoraggio PNRR'!Excel_BuiltIn_Print_Area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Davolio Raffaele</dc:creator>
  <cp:lastModifiedBy>Davolio Raffaele</cp:lastModifiedBy>
  <dcterms:created xsi:type="dcterms:W3CDTF">2026-09-26T07:09:25Z</dcterms:created>
  <dcterms:modified xsi:type="dcterms:W3CDTF">2026-09-26T08:40:16Z</dcterms:modified>
</cp:coreProperties>
</file>