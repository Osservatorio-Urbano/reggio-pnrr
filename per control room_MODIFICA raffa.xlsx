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bassareggiana-my.sharepoint.com/personal/raffaele_davolio_bassareggiana_onmicrosoft_com/Documents/Desktop/mappe suburbanity - PNRR - EVO 15_10_26/public/"/>
    </mc:Choice>
  </mc:AlternateContent>
  <xr:revisionPtr revIDLastSave="0" documentId="13_ncr:1_{4695A8A5-BC70-4490-B3CF-F25D857A775D}" xr6:coauthVersionLast="47" xr6:coauthVersionMax="47" xr10:uidLastSave="{00000000-0000-0000-0000-000000000000}"/>
  <bookViews>
    <workbookView xWindow="28680" yWindow="-120" windowWidth="29040" windowHeight="15720" tabRatio="500" xr2:uid="{43255A81-2082-436C-B2CB-B5C101BE15BC}"/>
  </bookViews>
  <sheets>
    <sheet name="Monitoraggio PNRR" sheetId="1" r:id="rId1"/>
    <sheet name="coordinate" sheetId="3" r:id="rId2"/>
  </sheets>
  <definedNames>
    <definedName name="__xlfn_IFERROR">#N/A</definedName>
    <definedName name="_xlnm._FilterDatabase" localSheetId="1" hidden="1">coordinate!$A$1:$L$80</definedName>
    <definedName name="_xlnm._FilterDatabase" localSheetId="0" hidden="1">'Monitoraggio PNRR'!$B:$U</definedName>
    <definedName name="_xlnm.Print_Area" localSheetId="0">'Monitoraggio PNRR'!$A$1:$U$131</definedName>
    <definedName name="Excel_BuiltIn__FilterDatabase" localSheetId="0">'Monitoraggio PNRR'!$B$1:$U$104</definedName>
    <definedName name="Excel_BuiltIn_Print_Area" localSheetId="0">'Monitoraggio PNRR'!$B$1:$U$47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8" i="1" l="1"/>
  <c r="O123" i="1"/>
  <c r="O118" i="1"/>
  <c r="U58" i="1"/>
  <c r="T58" i="1"/>
  <c r="Q58" i="1"/>
  <c r="P58" i="1"/>
  <c r="N58" i="1"/>
  <c r="O58" i="1" s="1"/>
  <c r="U61" i="1"/>
  <c r="T61" i="1"/>
  <c r="Q61" i="1"/>
  <c r="P61" i="1"/>
  <c r="N61" i="1"/>
  <c r="O61" i="1" s="1"/>
  <c r="U105" i="1"/>
  <c r="Q105" i="1"/>
  <c r="P105" i="1"/>
  <c r="N105" i="1"/>
  <c r="U108" i="1"/>
  <c r="T108" i="1"/>
  <c r="Q108" i="1"/>
  <c r="P108" i="1"/>
  <c r="N108" i="1"/>
  <c r="O108" i="1" s="1"/>
  <c r="U111" i="1"/>
  <c r="T111" i="1"/>
  <c r="Q111" i="1"/>
  <c r="P111" i="1"/>
  <c r="N111" i="1"/>
  <c r="U118" i="1"/>
  <c r="T118" i="1"/>
  <c r="Q118" i="1"/>
  <c r="P118" i="1"/>
  <c r="N118" i="1"/>
  <c r="U123" i="1"/>
  <c r="T123" i="1"/>
  <c r="Q123" i="1"/>
  <c r="P123" i="1"/>
  <c r="N123" i="1"/>
  <c r="U128" i="1"/>
  <c r="T128" i="1"/>
  <c r="Q128" i="1"/>
  <c r="P128" i="1"/>
  <c r="N128" i="1"/>
  <c r="O3" i="1"/>
  <c r="S3" i="1"/>
  <c r="O4" i="1"/>
  <c r="O5" i="1"/>
  <c r="O6" i="1"/>
  <c r="S6" i="1"/>
  <c r="O7" i="1"/>
  <c r="O8" i="1"/>
  <c r="O9" i="1"/>
  <c r="S9" i="1"/>
  <c r="O10" i="1"/>
  <c r="S10" i="1"/>
  <c r="O11" i="1"/>
  <c r="O12" i="1"/>
  <c r="O13" i="1"/>
  <c r="O14" i="1"/>
  <c r="S14" i="1"/>
  <c r="O15" i="1"/>
  <c r="O16" i="1"/>
  <c r="N17" i="1"/>
  <c r="P17" i="1"/>
  <c r="Q17" i="1"/>
  <c r="T17" i="1"/>
  <c r="U17" i="1"/>
  <c r="O19" i="1"/>
  <c r="O20" i="1"/>
  <c r="O21" i="1"/>
  <c r="O22" i="1"/>
  <c r="N23" i="1"/>
  <c r="P23" i="1"/>
  <c r="Q23" i="1"/>
  <c r="T23" i="1"/>
  <c r="U23" i="1"/>
  <c r="O25" i="1"/>
  <c r="S25" i="1"/>
  <c r="O26" i="1"/>
  <c r="S26" i="1"/>
  <c r="O27" i="1"/>
  <c r="S27" i="1"/>
  <c r="O28" i="1"/>
  <c r="O29" i="1"/>
  <c r="O30" i="1"/>
  <c r="S30" i="1"/>
  <c r="O31" i="1"/>
  <c r="S31" i="1"/>
  <c r="O32" i="1"/>
  <c r="S32" i="1"/>
  <c r="O33" i="1"/>
  <c r="O34" i="1"/>
  <c r="S34" i="1"/>
  <c r="O35" i="1"/>
  <c r="S35" i="1"/>
  <c r="O36" i="1"/>
  <c r="S36" i="1"/>
  <c r="O37" i="1"/>
  <c r="N38" i="1"/>
  <c r="P38" i="1"/>
  <c r="Q38" i="1"/>
  <c r="T38" i="1"/>
  <c r="U38" i="1"/>
  <c r="O40" i="1"/>
  <c r="S40" i="1"/>
  <c r="O41" i="1"/>
  <c r="S41" i="1"/>
  <c r="N42" i="1"/>
  <c r="P42" i="1"/>
  <c r="Q42" i="1"/>
  <c r="T42" i="1"/>
  <c r="U42" i="1"/>
  <c r="O44" i="1"/>
  <c r="S44" i="1"/>
  <c r="O45" i="1"/>
  <c r="S45" i="1"/>
  <c r="O46" i="1"/>
  <c r="N47" i="1"/>
  <c r="P47" i="1"/>
  <c r="Q47" i="1"/>
  <c r="T47" i="1"/>
  <c r="U47" i="1"/>
  <c r="O49" i="1"/>
  <c r="S49" i="1"/>
  <c r="O50" i="1"/>
  <c r="O51" i="1"/>
  <c r="S51" i="1"/>
  <c r="O52" i="1"/>
  <c r="O53" i="1"/>
  <c r="N54" i="1"/>
  <c r="P54" i="1"/>
  <c r="Q54" i="1"/>
  <c r="T54" i="1"/>
  <c r="U54" i="1"/>
  <c r="O56" i="1"/>
  <c r="O60" i="1"/>
  <c r="S60" i="1"/>
  <c r="O63" i="1"/>
  <c r="S63" i="1"/>
  <c r="O64" i="1"/>
  <c r="S64" i="1"/>
  <c r="N65" i="1"/>
  <c r="P65" i="1"/>
  <c r="Q65" i="1"/>
  <c r="T65" i="1"/>
  <c r="U65" i="1"/>
  <c r="O67" i="1"/>
  <c r="O68" i="1"/>
  <c r="S68" i="1"/>
  <c r="O69" i="1"/>
  <c r="O70" i="1"/>
  <c r="O71" i="1"/>
  <c r="S71" i="1"/>
  <c r="O72" i="1"/>
  <c r="S72" i="1"/>
  <c r="O73" i="1"/>
  <c r="S73" i="1"/>
  <c r="O74" i="1"/>
  <c r="O75" i="1"/>
  <c r="N76" i="1"/>
  <c r="O76" i="1"/>
  <c r="P76" i="1"/>
  <c r="Q76" i="1"/>
  <c r="R76" i="1"/>
  <c r="S76" i="1"/>
  <c r="T76" i="1"/>
  <c r="U76" i="1"/>
  <c r="O78" i="1"/>
  <c r="O79" i="1"/>
  <c r="O80" i="1"/>
  <c r="O81" i="1"/>
  <c r="O82" i="1"/>
  <c r="O83" i="1"/>
  <c r="N84" i="1"/>
  <c r="P84" i="1"/>
  <c r="Q84" i="1"/>
  <c r="T84" i="1"/>
  <c r="U84" i="1"/>
  <c r="O86" i="1"/>
  <c r="T86" i="1"/>
  <c r="O87" i="1"/>
  <c r="T87" i="1"/>
  <c r="O88" i="1"/>
  <c r="T88" i="1"/>
  <c r="O89" i="1"/>
  <c r="T89" i="1"/>
  <c r="O90" i="1"/>
  <c r="T90" i="1"/>
  <c r="O91" i="1"/>
  <c r="O92" i="1"/>
  <c r="O93" i="1"/>
  <c r="O94" i="1"/>
  <c r="O95" i="1"/>
  <c r="T95" i="1"/>
  <c r="O97" i="1"/>
  <c r="O98" i="1"/>
  <c r="O99" i="1"/>
  <c r="O104" i="1"/>
  <c r="O111" i="1" l="1"/>
  <c r="O105" i="1"/>
  <c r="U129" i="1"/>
  <c r="Q129" i="1"/>
  <c r="P129" i="1"/>
  <c r="N129" i="1"/>
  <c r="T105" i="1"/>
  <c r="T129" i="1" s="1"/>
  <c r="O17" i="1"/>
  <c r="O54" i="1"/>
  <c r="O65" i="1"/>
  <c r="O84" i="1"/>
  <c r="O42" i="1"/>
  <c r="O23" i="1"/>
  <c r="O38" i="1"/>
  <c r="O47" i="1"/>
  <c r="O12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Raffaele Davolio</author>
    <author>OpenAI</author>
  </authors>
  <commentList>
    <comment ref="J3" authorId="0" shapeId="0" xr:uid="{9A2A8467-D622-4F32-A295-EC4DADA26B5C}">
      <text>
        <r>
          <rPr>
            <sz val="10"/>
            <rFont val="Arial"/>
            <family val="2"/>
          </rPr>
          <t>Raffaele Davolio:
Source: italiamappe.it, https://www.italiamappe.it/stradario/reggio-nell'emilia/via-giuseppe-galliano/</t>
        </r>
      </text>
    </comment>
    <comment ref="K3" authorId="0" shapeId="0" xr:uid="{AED843F0-77CD-4A5A-899E-8AB1A1A6C74A}">
      <text>
        <r>
          <rPr>
            <sz val="10"/>
            <rFont val="Arial"/>
            <family val="2"/>
          </rPr>
          <t>Raffaele Davolio:
Source: italiamappe.it, https://www.italiamappe.it/stradario/reggio-nell'emilia/via-giuseppe-galliano/</t>
        </r>
      </text>
    </comment>
    <comment ref="J4" authorId="0" shapeId="0" xr:uid="{2755C1D4-563B-459E-A3B6-009D64699EDD}">
      <text>
        <r>
          <rPr>
            <sz val="10"/>
            <rFont val="Arial"/>
            <family val="2"/>
          </rPr>
          <t>Raffaele Davolio:
Source: italiamappe.it, https://www.italiamappe.it/stradario/reggio-nell'emilia/via-dante-alighieri/</t>
        </r>
      </text>
    </comment>
    <comment ref="K4" authorId="0" shapeId="0" xr:uid="{F3A02992-96E5-4697-B07C-7107B2A3E9C5}">
      <text>
        <r>
          <rPr>
            <sz val="10"/>
            <rFont val="Arial"/>
            <family val="2"/>
          </rPr>
          <t>Raffaele Davolio:
Source: italiamappe.it, https://www.italiamappe.it/stradario/reggio-nell'emilia/via-dante-alighieri/</t>
        </r>
      </text>
    </comment>
    <comment ref="J5" authorId="0" shapeId="0" xr:uid="{0AABEE2C-B6BF-4E5B-884D-4D9D61B63016}">
      <text>
        <r>
          <rPr>
            <sz val="10"/>
            <rFont val="Arial"/>
            <family val="2"/>
          </rPr>
          <t>Raffaele Davolio:
Source: nuove-strade.it, https://www.nuove-strade.it/emilia-romagna/reggio-nellemilia/via-jules-emile-massenet</t>
        </r>
      </text>
    </comment>
    <comment ref="K5" authorId="0" shapeId="0" xr:uid="{8F49857A-2A05-4D39-9BCF-B1288AB52B0B}">
      <text>
        <r>
          <rPr>
            <sz val="10"/>
            <rFont val="Arial"/>
            <family val="2"/>
          </rPr>
          <t>Raffaele Davolio:
Source: nuove-strade.it, https://www.nuove-strade.it/emilia-romagna/reggio-nellemilia/via-jules-emile-massenet</t>
        </r>
      </text>
    </comment>
    <comment ref="J6" authorId="0" shapeId="0" xr:uid="{169ACCA0-6877-4AFA-8428-B7A3E32B2BDC}">
      <text>
        <r>
          <rPr>
            <sz val="10"/>
            <rFont val="Arial"/>
            <family val="2"/>
          </rPr>
          <t>Raffaele Davolio:
Source: italiamappe.it, https://www.italiamappe.it/stradario/reggio-nell'emilia/via-dante-alighieri/</t>
        </r>
      </text>
    </comment>
    <comment ref="K6" authorId="0" shapeId="0" xr:uid="{3FDBF99D-2BBB-47EC-AA9F-D509507FE5A4}">
      <text>
        <r>
          <rPr>
            <sz val="10"/>
            <rFont val="Arial"/>
            <family val="2"/>
          </rPr>
          <t>Raffaele Davolio:
Source: italiamappe.it, https://www.italiamappe.it/stradario/reggio-nell'emilia/via-dante-alighieri/</t>
        </r>
      </text>
    </comment>
    <comment ref="J7" authorId="1" shapeId="0" xr:uid="{CA6A8D35-CFF2-42FB-B28A-41EF76F30EE8}">
      <text>
        <r>
          <rPr>
            <sz val="10"/>
            <rFont val="Arial"/>
            <family val="2"/>
          </rPr>
          <t>Geolocalizzazione integrata. Tipo: Puntuale/area parco. Affidabilita: ALTA. Fonte/criterio: Centro rappresentativo Parco del Gelso; localizzazione coerente con area di progetto. Punto nel Parco del Gelso; intervento su area verde, non singolo edificio. URL: https://www.zampaconnect.com/area-cani/reggio-emilia/parco_del_gelso_42124_reggio_nellemilia_re</t>
        </r>
      </text>
    </comment>
    <comment ref="K7" authorId="1" shapeId="0" xr:uid="{B17FC5F4-6EE1-4C01-9C66-FB003C2007C8}">
      <text>
        <r>
          <rPr>
            <sz val="10"/>
            <rFont val="Arial"/>
            <family val="2"/>
          </rPr>
          <t>Geolocalizzazione integrata. Tipo: Puntuale/area parco. Affidabilita: ALTA. Fonte/criterio: Centro rappresentativo Parco del Gelso; localizzazione coerente con area di progetto. Punto nel Parco del Gelso; intervento su area verde, non singolo edificio. URL: https://www.zampaconnect.com/area-cani/reggio-emilia/parco_del_gelso_42124_reggio_nellemilia_re</t>
        </r>
      </text>
    </comment>
    <comment ref="J8" authorId="0" shapeId="0" xr:uid="{1C622E4B-2FBE-4957-A680-EB59552326B3}">
      <text>
        <r>
          <rPr>
            <sz val="10"/>
            <rFont val="Arial"/>
            <family val="2"/>
          </rPr>
          <t>Raffaele Davolio:
Source: italiamappe.it, https://www.italiamappe.it/stradario/reggio-nell'emilia/viale-isonzo/</t>
        </r>
      </text>
    </comment>
    <comment ref="K8" authorId="0" shapeId="0" xr:uid="{1C947562-63BD-4FC9-9F38-C54C812E0834}">
      <text>
        <r>
          <rPr>
            <sz val="10"/>
            <rFont val="Arial"/>
            <family val="2"/>
          </rPr>
          <t>Raffaele Davolio:
Source: italiamappe.it, https://www.italiamappe.it/stradario/reggio-nell'emilia/viale-isonzo/</t>
        </r>
      </text>
    </comment>
    <comment ref="J9" authorId="0" shapeId="0" xr:uid="{2164E0FB-F4E1-435A-80E6-2B1D89522893}">
      <text>
        <r>
          <rPr>
            <sz val="10"/>
            <rFont val="Arial"/>
            <family val="2"/>
          </rPr>
          <t>Raffaele Davolio:
Source: italiamappe.it, https://www.italiamappe.it/stradario/reggio-nell'emilia/via-roma/</t>
        </r>
      </text>
    </comment>
    <comment ref="K9" authorId="0" shapeId="0" xr:uid="{EBAA0BF6-7EFD-477E-A96D-80042279A9ED}">
      <text>
        <r>
          <rPr>
            <sz val="10"/>
            <rFont val="Arial"/>
            <family val="2"/>
          </rPr>
          <t>Raffaele Davolio:
Source: italiamappe.it, https://www.italiamappe.it/stradario/reggio-nell'emilia/via-roma/</t>
        </r>
      </text>
    </comment>
    <comment ref="J10" authorId="1" shapeId="0" xr:uid="{F9C8BB26-EA92-4A28-9ED1-6502FF317200}">
      <text>
        <r>
          <rPr>
            <sz val="10"/>
            <rFont val="Arial"/>
            <family val="2"/>
          </rPr>
          <t>Geolocalizzazione integrata. Tipo: Puntuale. Affidabilita: ALTA. Fonte/criterio: Piazzale Reverberi / ex Polveriera. Punto rappresentativo del Piazzale Reverberi/Bicilab. URL: https://www.openstreetmap.org/search?query=Piazzale%20Reverberi%20Reggio%20Emilia</t>
        </r>
      </text>
    </comment>
    <comment ref="K10" authorId="1" shapeId="0" xr:uid="{5595D34F-942A-4280-BF14-376A02DD4A4F}">
      <text>
        <r>
          <rPr>
            <sz val="10"/>
            <rFont val="Arial"/>
            <family val="2"/>
          </rPr>
          <t>Geolocalizzazione integrata. Tipo: Puntuale. Affidabilita: ALTA. Fonte/criterio: Piazzale Reverberi / ex Polveriera. Punto rappresentativo del Piazzale Reverberi/Bicilab. URL: https://www.openstreetmap.org/search?query=Piazzale%20Reverberi%20Reggio%20Emilia</t>
        </r>
      </text>
    </comment>
    <comment ref="J11" authorId="1" shapeId="0" xr:uid="{CC5B376B-68E6-4478-B1A8-748A432D1B81}">
      <text>
        <r>
          <rPr>
            <sz val="10"/>
            <rFont val="Arial"/>
            <family val="2"/>
          </rPr>
          <t>Geolocalizzazione integrata. Tipo: Puntuale. Affidabilita: ALTA. Fonte/criterio: Ponte/passarella del Gattaglio sul Crostolo. Coordinate del ponte/passerella in area Gattaglio. URL: https://mapcarta.com/search?q=Ponte%20del%20Gattaglio%20Reggio%20Emilia</t>
        </r>
      </text>
    </comment>
    <comment ref="K11" authorId="1" shapeId="0" xr:uid="{05247EA6-9E30-4576-ADF2-09BCA1285666}">
      <text>
        <r>
          <rPr>
            <sz val="10"/>
            <rFont val="Arial"/>
            <family val="2"/>
          </rPr>
          <t>Geolocalizzazione integrata. Tipo: Puntuale. Affidabilita: ALTA. Fonte/criterio: Ponte/passarella del Gattaglio sul Crostolo. Coordinate del ponte/passerella in area Gattaglio. URL: https://mapcarta.com/search?q=Ponte%20del%20Gattaglio%20Reggio%20Emilia</t>
        </r>
      </text>
    </comment>
    <comment ref="J12" authorId="1" shapeId="0" xr:uid="{753017A6-6830-4299-895E-034429B65B53}">
      <text>
        <r>
          <rPr>
            <sz val="10"/>
            <rFont val="Arial"/>
            <family val="2"/>
          </rPr>
          <t>Geolocalizzazione integrata. Tipo: Rappresentativo lineare. Affidabilita: BASSA. Fonte/criterio: Centroide rappresentativo del tratto Cella-Cade-Gaida ricavato dalle localita attraversate. Intervento lineare esteso: usare in futuro una geometria LineString; il punto serve solo come marker CUP. URL: https://mapcarta.com/18708310</t>
        </r>
      </text>
    </comment>
    <comment ref="K12" authorId="1" shapeId="0" xr:uid="{0308D94F-A154-4F23-8426-95249D4FF86F}">
      <text>
        <r>
          <rPr>
            <sz val="10"/>
            <rFont val="Arial"/>
            <family val="2"/>
          </rPr>
          <t>Geolocalizzazione integrata. Tipo: Rappresentativo lineare. Affidabilita: BASSA. Fonte/criterio: Centroide rappresentativo del tratto Cella-Cade-Gaida ricavato dalle localita attraversate. Intervento lineare esteso: usare in futuro una geometria LineString; il punto serve solo come marker CUP. URL: https://mapcarta.com/18708310</t>
        </r>
      </text>
    </comment>
    <comment ref="L12" authorId="0" shapeId="0" xr:uid="{1183B54F-A029-45BB-AFE9-D1D4D4D980FE}">
      <text>
        <r>
          <rPr>
            <b/>
            <sz val="9"/>
            <color indexed="81"/>
            <rFont val="Tahoma"/>
            <family val="2"/>
          </rPr>
          <t>Raffaele Davolio:</t>
        </r>
        <r>
          <rPr>
            <sz val="9"/>
            <color indexed="81"/>
            <rFont val="Tahoma"/>
            <family val="2"/>
          </rPr>
          <t xml:space="preserve">
Geolocalizzazione integrata. Tipo: Fine tracciato lineare. Affidabilità: MEDIA. Fonte/criterio: Via Guardanavona (estremo nord/Cadè del corridoio ciclabile via Emilia Cella-Cadè-Gaida). URL: https://www.nuove-strade.it/emilia-romagna/reggio-nellemilia/via-guardanavona</t>
        </r>
      </text>
    </comment>
    <comment ref="J13" authorId="1" shapeId="0" xr:uid="{D4D54EC8-54DF-49F8-85A1-25DE8B184181}">
      <text>
        <r>
          <rPr>
            <sz val="10"/>
            <rFont val="Arial"/>
            <family val="2"/>
          </rPr>
          <t>Geolocalizzazione integrata. Tipo: Rappresentativo su via. Affidabilita: MEDIA. Fonte/criterio: Centro della Via Don Giovanni Verita. Intervento lungo la via; coordinata rappresentativa, non civico puntuale. URL: https://distanzechilometriche.net/mappa/reggio-nell-emilia/via-don-giovanni-verita/</t>
        </r>
      </text>
    </comment>
    <comment ref="K13" authorId="1" shapeId="0" xr:uid="{D0F545F2-14EC-4172-8516-D0FC1811B825}">
      <text>
        <r>
          <rPr>
            <sz val="10"/>
            <rFont val="Arial"/>
            <family val="2"/>
          </rPr>
          <t>Geolocalizzazione integrata. Tipo: Rappresentativo su via. Affidabilita: MEDIA. Fonte/criterio: Centro della Via Don Giovanni Verita. Intervento lungo la via; coordinata rappresentativa, non civico puntuale. URL: https://distanzechilometriche.net/mappa/reggio-nell-emilia/via-don-giovanni-verita/</t>
        </r>
      </text>
    </comment>
    <comment ref="J14" authorId="1" shapeId="0" xr:uid="{801C5F5C-47C7-4410-843B-6AB7AD9C7D6D}">
      <text>
        <r>
          <rPr>
            <sz val="10"/>
            <rFont val="Arial"/>
            <family val="2"/>
          </rPr>
          <t>Geolocalizzazione integrata. Tipo: Rappresentativo lineare. Affidabilita: BASSA. Fonte/criterio: Punto medio approssimato tra Stazione FS/Piazzale Marconi e Piazza della Vittoria. Strada della Cultura: marker al centro del corridoio; preferibile una LineString nella mappa finale. URL: https://distanzechilometriche.net/mappa/reggio-nell-emilia/piazza-della-vittoria/</t>
        </r>
      </text>
    </comment>
    <comment ref="K14" authorId="1" shapeId="0" xr:uid="{C049BC74-38EF-4617-8F1D-F5B355433522}">
      <text>
        <r>
          <rPr>
            <sz val="10"/>
            <rFont val="Arial"/>
            <family val="2"/>
          </rPr>
          <t>Geolocalizzazione integrata. Tipo: Rappresentativo lineare. Affidabilita: BASSA. Fonte/criterio: Punto medio approssimato tra Stazione FS/Piazzale Marconi e Piazza della Vittoria. Strada della Cultura: marker al centro del corridoio; preferibile una LineString nella mappa finale. URL: https://distanzechilometriche.net/mappa/reggio-nell-emilia/piazza-della-vittoria/</t>
        </r>
      </text>
    </comment>
    <comment ref="J15" authorId="1" shapeId="0" xr:uid="{434F8AB2-BA2B-4E16-9863-6CDAC9649BB4}">
      <text>
        <r>
          <rPr>
            <sz val="10"/>
            <rFont val="Arial"/>
            <family val="2"/>
          </rPr>
          <t>Geolocalizzazione integrata. Tipo: Puntuale/area. Affidabilita: ALTA. Fonte/criterio: Area Orti di Santa Chiara tra Teatro Cavallerizza e Spazio Gerra. Punto centrale dell area descritta dal Comune tra Cavallerizza e Spazio Gerra. URL: https://www.comune.reggioemilia.it/argomenti/attuazione-misure-pnrr/missione-5/pnrr-m5c2-i2-1-riqualificazione-e-rigenerazione-urbana-del-quadrante-nord-est-del-centro-storico-di-reggio-2013-riqualificazione-degli-orti-di-santa-chiara-1</t>
        </r>
      </text>
    </comment>
    <comment ref="K15" authorId="1" shapeId="0" xr:uid="{7A6607CB-CC7D-48A7-881F-43984FD89075}">
      <text>
        <r>
          <rPr>
            <sz val="10"/>
            <rFont val="Arial"/>
            <family val="2"/>
          </rPr>
          <t>Geolocalizzazione integrata. Tipo: Puntuale/area. Affidabilita: ALTA. Fonte/criterio: Area Orti di Santa Chiara tra Teatro Cavallerizza e Spazio Gerra. Punto centrale dell area descritta dal Comune tra Cavallerizza e Spazio Gerra. URL: https://www.comune.reggioemilia.it/argomenti/attuazione-misure-pnrr/missione-5/pnrr-m5c2-i2-1-riqualificazione-e-rigenerazione-urbana-del-quadrante-nord-est-del-centro-storico-di-reggio-2013-riqualificazione-degli-orti-di-santa-chiara-1</t>
        </r>
      </text>
    </comment>
    <comment ref="J16" authorId="1" shapeId="0" xr:uid="{4B4CC6A8-F6BC-4359-8587-E6808C565C55}">
      <text>
        <r>
          <rPr>
            <sz val="10"/>
            <rFont val="Arial"/>
            <family val="2"/>
          </rPr>
          <t>Geolocalizzazione integrata. Tipo: Rappresentativo su via. Affidabilita: MEDIA. Fonte/criterio: Centro della Via Inghilterra. Barriere antirumore lungo la via: punto rappresentativo. URL: https://www.italiamappe.it/stradario/reggio-nell%27emilia/</t>
        </r>
      </text>
    </comment>
    <comment ref="K16" authorId="1" shapeId="0" xr:uid="{9E0E4FBB-43FE-4275-A549-0C3F60D7E0AF}">
      <text>
        <r>
          <rPr>
            <sz val="10"/>
            <rFont val="Arial"/>
            <family val="2"/>
          </rPr>
          <t>Geolocalizzazione integrata. Tipo: Rappresentativo su via. Affidabilita: MEDIA. Fonte/criterio: Centro della Via Inghilterra. Barriere antirumore lungo la via: punto rappresentativo. URL: https://www.italiamappe.it/stradario/reggio-nell%27emilia/</t>
        </r>
      </text>
    </comment>
    <comment ref="J17" authorId="0" shapeId="0" xr:uid="{478A0882-8667-4841-BA14-316B0A3DE08C}">
      <text>
        <r>
          <rPr>
            <b/>
            <sz val="9"/>
            <color indexed="81"/>
            <rFont val="Tahoma"/>
            <family val="2"/>
          </rPr>
          <t>Raffaele Davolio:</t>
        </r>
        <r>
          <rPr>
            <sz val="9"/>
            <color indexed="81"/>
            <rFont val="Tahoma"/>
            <family val="2"/>
          </rPr>
          <t xml:space="preserve">
Geolocalizzazione integrata. Tipo: Inizio tracciato lineare. Affidabilità: ALTA. Fonte/criterio: Via Roma (estremo ovest del sottopasso ciclopedonale alla ferrovia storica). URL: https://www.italiamappe.it/stradario/reggio-nell%27emilia/via-roma/</t>
        </r>
      </text>
    </comment>
    <comment ref="L17" authorId="0" shapeId="0" xr:uid="{7D492851-F9EE-4CEE-B89B-AF19686A4310}">
      <text>
        <r>
          <rPr>
            <b/>
            <sz val="9"/>
            <color indexed="81"/>
            <rFont val="Tahoma"/>
            <family val="2"/>
          </rPr>
          <t>Raffaele Davolio:</t>
        </r>
        <r>
          <rPr>
            <sz val="9"/>
            <color indexed="81"/>
            <rFont val="Tahoma"/>
            <family val="2"/>
          </rPr>
          <t xml:space="preserve">
Geolocalizzazione integrata. Tipo: Fine tracciato lineare. Affidabilità: MEDIA. Fonte/criterio: Viale Regina Margherita (estremo est del sottopasso). URL: https://www.tuttocitta.it/ristoranti/reggio-nell'emilia/viale-regina-margherita</t>
        </r>
      </text>
    </comment>
    <comment ref="B18" authorId="0" shapeId="0" xr:uid="{74955621-08AE-4643-9ED5-FE240E61A7D6}">
      <text>
        <r>
          <rPr>
            <b/>
            <sz val="9"/>
            <color indexed="81"/>
            <rFont val="Tahoma"/>
            <family val="2"/>
          </rPr>
          <t>Raffaele Davolio:</t>
        </r>
        <r>
          <rPr>
            <sz val="9"/>
            <color indexed="81"/>
            <rFont val="Tahoma"/>
            <family val="2"/>
          </rPr>
          <t xml:space="preserve">
Geolocalizzazione integrata. Tipo: Fine tracciato lineare. Affidabilità: MEDIA. Fonte/criterio: Area Arena Campovolo/Via dell'Aeronautica (estremo nord del cavalcaferrovia verso il sistema dei parchi/Campovolo). URL: https://www.italiamappe.it/stradario/reggio-nell'emilia/via-dell'-aeronautica/</t>
        </r>
      </text>
    </comment>
    <comment ref="J19" authorId="1" shapeId="0" xr:uid="{73E3E32E-AA79-4B54-B6FA-86A9FD7C41F2}">
      <text>
        <r>
          <rPr>
            <sz val="10"/>
            <rFont val="Arial"/>
            <family val="2"/>
          </rPr>
          <t>Geolocalizzazione integrata. Tipo: Rappresentativo su via. Affidabilita: MEDIA. Fonte/criterio: Centro della Via Compagnoni. Riqualificazione ex scuole nel quartiere Compagnoni; punto su via. URL: https://www.italiamappe.it/stradario/reggio-nell%27emilia/</t>
        </r>
      </text>
    </comment>
    <comment ref="K19" authorId="1" shapeId="0" xr:uid="{A6F9ED77-6703-4920-9EC3-35F2C202EBF8}">
      <text>
        <r>
          <rPr>
            <sz val="10"/>
            <rFont val="Arial"/>
            <family val="2"/>
          </rPr>
          <t>Geolocalizzazione integrata. Tipo: Rappresentativo su via. Affidabilita: MEDIA. Fonte/criterio: Centro della Via Compagnoni. Riqualificazione ex scuole nel quartiere Compagnoni; punto su via. URL: https://www.italiamappe.it/stradario/reggio-nell%27emilia/</t>
        </r>
      </text>
    </comment>
    <comment ref="J20" authorId="1" shapeId="0" xr:uid="{E9D50477-477C-4262-AA78-3FF9FA300002}">
      <text>
        <r>
          <rPr>
            <sz val="10"/>
            <rFont val="Arial"/>
            <family val="2"/>
          </rPr>
          <t>Geolocalizzazione integrata. Tipo: Puntuale/area parco. Affidabilita: MEDIA. Fonte/criterio: Area Campo di Marte tra Via Cellini e linea Reggio-Sassuolo. Punto rappresentativo dei parchi Campo di Marte 1 e 2 presso il sottopasso. URL: https://www.comune.reggioemilia.it/argomenti/attuazione-misure-pnrr</t>
        </r>
      </text>
    </comment>
    <comment ref="K20" authorId="1" shapeId="0" xr:uid="{8442502A-1573-4917-B8F7-41627682DE7D}">
      <text>
        <r>
          <rPr>
            <sz val="10"/>
            <rFont val="Arial"/>
            <family val="2"/>
          </rPr>
          <t>Geolocalizzazione integrata. Tipo: Puntuale/area parco. Affidabilita: MEDIA. Fonte/criterio: Area Campo di Marte tra Via Cellini e linea Reggio-Sassuolo. Punto rappresentativo dei parchi Campo di Marte 1 e 2 presso il sottopasso. URL: https://www.comune.reggioemilia.it/argomenti/attuazione-misure-pnrr</t>
        </r>
      </text>
    </comment>
    <comment ref="J21" authorId="1" shapeId="0" xr:uid="{A18BDA01-0527-468F-8D63-0D8DE14266FE}">
      <text>
        <r>
          <rPr>
            <sz val="10"/>
            <rFont val="Arial"/>
            <family val="2"/>
          </rPr>
          <t>Geolocalizzazione integrata. Tipo: Rappresentativo opera. Affidabilita: MEDIA. Fonte/criterio: Asse Via Roma - Viale Regina Margherita in corrispondenza della ferrovia. Punto stimato sull asse del sottopasso; posizione rappresentativa dell opera. URL: https://www.comune.reggioemilia.it/argomenti/attuazione-misure-pnrr/progetti-stralciati-dal-pnrr/pnrr-m5c2-i2-1-riqualificazione-e-rigenerazione-urbana-del-quadrante-nord-est-del-centro-storico-di-reggio-2013-sottopasso-ciclopedonale-alla-ferrovia-storica-milano-bologna</t>
        </r>
      </text>
    </comment>
    <comment ref="K21" authorId="1" shapeId="0" xr:uid="{5FA74AC8-F245-4FFF-BFDB-7B3FC7AD9DCF}">
      <text>
        <r>
          <rPr>
            <sz val="10"/>
            <rFont val="Arial"/>
            <family val="2"/>
          </rPr>
          <t>Geolocalizzazione integrata. Tipo: Rappresentativo opera. Affidabilita: MEDIA. Fonte/criterio: Asse Via Roma - Viale Regina Margherita in corrispondenza della ferrovia. Punto stimato sull asse del sottopasso; posizione rappresentativa dell opera. URL: https://www.comune.reggioemilia.it/argomenti/attuazione-misure-pnrr/progetti-stralciati-dal-pnrr/pnrr-m5c2-i2-1-riqualificazione-e-rigenerazione-urbana-del-quadrante-nord-est-del-centro-storico-di-reggio-2013-sottopasso-ciclopedonale-alla-ferrovia-storica-milano-bologna</t>
        </r>
      </text>
    </comment>
    <comment ref="J22" authorId="1" shapeId="0" xr:uid="{ACA27D69-E975-42BC-8482-85560F02C9E1}">
      <text>
        <r>
          <rPr>
            <sz val="10"/>
            <rFont val="Arial"/>
            <family val="2"/>
          </rPr>
          <t>Geolocalizzazione integrata. Tipo: Rappresentativo opera. Affidabilita: MEDIA. Fonte/criterio: Circa 150 m a ovest della stazione Reggio Emilia San Lazzaro, come da descrizione progetto. Derivato dalla posizione della stazione e dalla distanza indicata nel progetto. URL: https://www.wikidata.org/wiki/Special:Search?search=Reggio%20Emilia%20San%20Lazzaro%20station</t>
        </r>
      </text>
    </comment>
    <comment ref="K22" authorId="1" shapeId="0" xr:uid="{28EB0F48-9A88-4DED-A113-D042D63620AC}">
      <text>
        <r>
          <rPr>
            <sz val="10"/>
            <rFont val="Arial"/>
            <family val="2"/>
          </rPr>
          <t>Geolocalizzazione integrata. Tipo: Rappresentativo opera. Affidabilita: MEDIA. Fonte/criterio: Circa 150 m a ovest della stazione Reggio Emilia San Lazzaro, come da descrizione progetto. Derivato dalla posizione della stazione e dalla distanza indicata nel progetto. URL: https://www.wikidata.org/wiki/Special:Search?search=Reggio%20Emilia%20San%20Lazzaro%20station</t>
        </r>
      </text>
    </comment>
    <comment ref="J25" authorId="0" shapeId="0" xr:uid="{0CCC1AC6-A279-466C-869F-AE7A82BE1B3C}">
      <text>
        <r>
          <rPr>
            <sz val="10"/>
            <rFont val="Arial"/>
            <family val="2"/>
          </rPr>
          <t>Raffaele Davolio:
Source: italiamappe.it, https://www.italiamappe.it/stradario/reggio-nell'emilia/via-domenico-francesco-cecati/</t>
        </r>
      </text>
    </comment>
    <comment ref="K25" authorId="0" shapeId="0" xr:uid="{1290736F-88DD-4807-A99B-EDAE689A3A33}">
      <text>
        <r>
          <rPr>
            <sz val="10"/>
            <rFont val="Arial"/>
            <family val="2"/>
          </rPr>
          <t>Raffaele Davolio:
Source: italiamappe.it, https://www.italiamappe.it/stradario/reggio-nell'emilia/via-domenico-francesco-cecati/</t>
        </r>
      </text>
    </comment>
    <comment ref="J26" authorId="0" shapeId="0" xr:uid="{F3C510A3-E4F1-42BD-9AAD-E024C605A49C}">
      <text>
        <r>
          <rPr>
            <sz val="10"/>
            <rFont val="Arial"/>
            <family val="2"/>
          </rPr>
          <t>Raffaele Davolio:
Source: nuove-strade.it, https://www.nuove-strade.it/emilia-romagna/reggio-nellemilia/via-ghiarda</t>
        </r>
      </text>
    </comment>
    <comment ref="K26" authorId="0" shapeId="0" xr:uid="{AB3028A5-4FE3-4A6B-BF86-3F0AED6095C0}">
      <text>
        <r>
          <rPr>
            <sz val="10"/>
            <rFont val="Arial"/>
            <family val="2"/>
          </rPr>
          <t>Raffaele Davolio:
Source: nuove-strade.it, https://www.nuove-strade.it/emilia-romagna/reggio-nellemilia/via-ghiarda</t>
        </r>
      </text>
    </comment>
    <comment ref="J27" authorId="1" shapeId="0" xr:uid="{7BEFB067-B921-4473-B138-4088E29B29C6}">
      <text>
        <r>
          <rPr>
            <sz val="10"/>
            <rFont val="Arial"/>
            <family val="2"/>
          </rPr>
          <t>Geolocalizzazione integrata. Tipo: Rappresentativo su via. Affidabilita: MEDIA. Fonte/criterio: Via Lasagni, localita Bagno. Punto rappresentativo della via; verificare il civico 5/A in caso di uso tecnico di precisione. URL: https://www.italiamappe.it/stradario/reggio-nell%27emilia/</t>
        </r>
      </text>
    </comment>
    <comment ref="K27" authorId="1" shapeId="0" xr:uid="{0228395D-E0F4-4C33-8B66-6F0276128626}">
      <text>
        <r>
          <rPr>
            <sz val="10"/>
            <rFont val="Arial"/>
            <family val="2"/>
          </rPr>
          <t>Geolocalizzazione integrata. Tipo: Rappresentativo su via. Affidabilita: MEDIA. Fonte/criterio: Via Lasagni, localita Bagno. Punto rappresentativo della via; verificare il civico 5/A in caso di uso tecnico di precisione. URL: https://www.italiamappe.it/stradario/reggio-nell%27emilia/</t>
        </r>
      </text>
    </comment>
    <comment ref="J28" authorId="0" shapeId="0" xr:uid="{A00F8A13-581E-42EB-9D61-10D2012D2CDD}">
      <text>
        <r>
          <rPr>
            <sz val="10"/>
            <rFont val="Arial"/>
            <family val="2"/>
          </rPr>
          <t>Raffaele Davolio:
Source: nuove-strade.it, https://www.nuove-strade.it/emilia-romagna/reggio-nellemilia/via-giordano-bruno</t>
        </r>
      </text>
    </comment>
    <comment ref="K28" authorId="0" shapeId="0" xr:uid="{3A6DF6C7-C5ED-44B4-A8FF-4A6FFC2F27D4}">
      <text>
        <r>
          <rPr>
            <sz val="10"/>
            <rFont val="Arial"/>
            <family val="2"/>
          </rPr>
          <t>Raffaele Davolio:
Source: nuove-strade.it, https://www.nuove-strade.it/emilia-romagna/reggio-nellemilia/via-giordano-bruno</t>
        </r>
      </text>
    </comment>
    <comment ref="J29" authorId="0" shapeId="0" xr:uid="{B45DD060-C775-43CE-8D67-D0259F753C6A}">
      <text>
        <r>
          <rPr>
            <sz val="10"/>
            <rFont val="Arial"/>
            <family val="2"/>
          </rPr>
          <t>Raffaele Davolio:
Source: italiamappe.it, https://www.italiamappe.it/stradario/reggio-nell'emilia/via-pier-giacinto-terrachini/</t>
        </r>
      </text>
    </comment>
    <comment ref="K29" authorId="0" shapeId="0" xr:uid="{9CDF4A8D-C7C3-4310-AC35-FF3A6EDD9092}">
      <text>
        <r>
          <rPr>
            <sz val="10"/>
            <rFont val="Arial"/>
            <family val="2"/>
          </rPr>
          <t>Raffaele Davolio:
Source: italiamappe.it, https://www.italiamappe.it/stradario/reggio-nell'emilia/via-pier-giacinto-terrachini/</t>
        </r>
      </text>
    </comment>
    <comment ref="J30" authorId="0" shapeId="0" xr:uid="{6494FAF4-5A26-42E1-82AA-9829B3627AB2}">
      <text>
        <r>
          <rPr>
            <sz val="10"/>
            <rFont val="Arial"/>
            <family val="2"/>
          </rPr>
          <t>Raffaele Davolio:
Source: italiamappe.it, https://www.italiamappe.it/stradario/reggio-nell'emilia/via-emilia-all'ospizio/</t>
        </r>
      </text>
    </comment>
    <comment ref="K30" authorId="0" shapeId="0" xr:uid="{87F21FB6-B50E-4C68-A50C-2794941CE9D5}">
      <text>
        <r>
          <rPr>
            <sz val="10"/>
            <rFont val="Arial"/>
            <family val="2"/>
          </rPr>
          <t>Raffaele Davolio:
Source: italiamappe.it, https://www.italiamappe.it/stradario/reggio-nell'emilia/via-emilia-all'ospizio/</t>
        </r>
      </text>
    </comment>
    <comment ref="J31" authorId="1" shapeId="0" xr:uid="{76C9D24E-C1B1-4B88-9FE5-0188DA5DE3A9}">
      <text>
        <r>
          <rPr>
            <sz val="10"/>
            <rFont val="Arial"/>
            <family val="2"/>
          </rPr>
          <t>Geolocalizzazione integrata. Tipo: Puntuale. Affidabilita: ALTA. Fonte/criterio: Nido Sole, Via Caravaggio 2. Coordinate edificio/area scolastica. URL: https://www.comune.reggioemilia.it/argomenti/istituzione-scuole-e-nidi-dinfanzia</t>
        </r>
      </text>
    </comment>
    <comment ref="K31" authorId="1" shapeId="0" xr:uid="{2A70A3C7-C2AD-4C0F-AA1D-7CA12AEB839C}">
      <text>
        <r>
          <rPr>
            <sz val="10"/>
            <rFont val="Arial"/>
            <family val="2"/>
          </rPr>
          <t>Geolocalizzazione integrata. Tipo: Puntuale. Affidabilita: ALTA. Fonte/criterio: Nido Sole, Via Caravaggio 2. Coordinate edificio/area scolastica. URL: https://www.comune.reggioemilia.it/argomenti/istituzione-scuole-e-nidi-dinfanzia</t>
        </r>
      </text>
    </comment>
    <comment ref="J32" authorId="0" shapeId="0" xr:uid="{A9D698A3-ECB3-4131-AD29-5D4F31E474B8}">
      <text>
        <r>
          <rPr>
            <sz val="10"/>
            <rFont val="Arial"/>
            <family val="2"/>
          </rPr>
          <t>Raffaele Davolio:
Source: italiamappe.it, https://www.italiamappe.it/stradario/reggio-nell'emilia/via-domenico-francesco-cecati/</t>
        </r>
      </text>
    </comment>
    <comment ref="K32" authorId="0" shapeId="0" xr:uid="{7467BF16-53E1-4D95-8C5B-77933184FF4B}">
      <text>
        <r>
          <rPr>
            <sz val="10"/>
            <rFont val="Arial"/>
            <family val="2"/>
          </rPr>
          <t>Raffaele Davolio:
Source: italiamappe.it, https://www.italiamappe.it/stradario/reggio-nell'emilia/via-domenico-francesco-cecati/</t>
        </r>
      </text>
    </comment>
    <comment ref="J33" authorId="1" shapeId="0" xr:uid="{C650EAC5-9B4D-4F9E-A980-97790504A2C6}">
      <text>
        <r>
          <rPr>
            <sz val="10"/>
            <rFont val="Arial"/>
            <family val="2"/>
          </rPr>
          <t>Geolocalizzazione integrata. Tipo: Puntuale stimato. Affidabilita: MEDIA. Fonte/criterio: Nido Peter Pan, Via Pradarena 14; posizione ricostruita da POI e viabilita circostante. Indirizzo ufficiale; coordinata ricostruita sull edificio/area del nido. URL: https://www.comune.reggioemilia.it/argomenti/istituzione-scuole-e-nidi-dinfanzia/nidi-dinfanzia/nidi-comunali-e-convenzionati/peterpan</t>
        </r>
      </text>
    </comment>
    <comment ref="K33" authorId="1" shapeId="0" xr:uid="{A2FB98E4-2B5D-4EAA-A0D6-A90E67B1666C}">
      <text>
        <r>
          <rPr>
            <sz val="10"/>
            <rFont val="Arial"/>
            <family val="2"/>
          </rPr>
          <t>Geolocalizzazione integrata. Tipo: Puntuale stimato. Affidabilita: MEDIA. Fonte/criterio: Nido Peter Pan, Via Pradarena 14; posizione ricostruita da POI e viabilita circostante. Indirizzo ufficiale; coordinata ricostruita sull edificio/area del nido. URL: https://www.comune.reggioemilia.it/argomenti/istituzione-scuole-e-nidi-dinfanzia/nidi-dinfanzia/nidi-comunali-e-convenzionati/peterpan</t>
        </r>
      </text>
    </comment>
    <comment ref="J34" authorId="1" shapeId="0" xr:uid="{0ABB646D-15B6-4DB9-889C-43071246D6BB}">
      <text>
        <r>
          <rPr>
            <sz val="10"/>
            <rFont val="Arial"/>
            <family val="2"/>
          </rPr>
          <t>Geolocalizzazione integrata. Tipo: Puntuale stimato. Affidabilita: MEDIA. Fonte/criterio: Nido Genoeffa Cervi, Via Renato Fucini 1. POI del nido in prossimita del riferimento cartografico Casino Bacchi. URL: https://www.comune.reggioemilia.it/argomenti/istituzione-scuole-e-nidi-dinfanzia</t>
        </r>
      </text>
    </comment>
    <comment ref="K34" authorId="1" shapeId="0" xr:uid="{6268A4B6-F50C-4DB0-A263-E5C78B02621B}">
      <text>
        <r>
          <rPr>
            <sz val="10"/>
            <rFont val="Arial"/>
            <family val="2"/>
          </rPr>
          <t>Geolocalizzazione integrata. Tipo: Puntuale stimato. Affidabilita: MEDIA. Fonte/criterio: Nido Genoeffa Cervi, Via Renato Fucini 1. POI del nido in prossimita del riferimento cartografico Casino Bacchi. URL: https://www.comune.reggioemilia.it/argomenti/istituzione-scuole-e-nidi-dinfanzia</t>
        </r>
      </text>
    </comment>
    <comment ref="J35" authorId="1" shapeId="0" xr:uid="{4A8585B9-FDD8-4B78-9C8F-3EC812035727}">
      <text>
        <r>
          <rPr>
            <sz val="10"/>
            <rFont val="Arial"/>
            <family val="2"/>
          </rPr>
          <t>Geolocalizzazione integrata. Tipo: Rappresentativo su via. Affidabilita: MEDIA. Fonte/criterio: Polo Rivieri/Claudel, Via H. de Balzac 2. Indirizzo ufficiale; coordinata rappresentativa della via. URL: https://www.comune.reggioemilia.it/argomenti/istituzione-scuole-e-nidi-dinfanzia/nidi-scuole/rivieri</t>
        </r>
      </text>
    </comment>
    <comment ref="K35" authorId="1" shapeId="0" xr:uid="{A7AEB63D-5C38-479B-88B2-519B1E4867B2}">
      <text>
        <r>
          <rPr>
            <sz val="10"/>
            <rFont val="Arial"/>
            <family val="2"/>
          </rPr>
          <t>Geolocalizzazione integrata. Tipo: Rappresentativo su via. Affidabilita: MEDIA. Fonte/criterio: Polo Rivieri/Claudel, Via H. de Balzac 2. Indirizzo ufficiale; coordinata rappresentativa della via. URL: https://www.comune.reggioemilia.it/argomenti/istituzione-scuole-e-nidi-dinfanzia/nidi-scuole/rivieri</t>
        </r>
      </text>
    </comment>
    <comment ref="J36" authorId="1" shapeId="0" xr:uid="{C63B6CD6-E2D8-40FE-A7CB-7927C118C8AB}">
      <text>
        <r>
          <rPr>
            <sz val="10"/>
            <rFont val="Arial"/>
            <family val="2"/>
          </rPr>
          <t>Geolocalizzazione integrata. Tipo: Puntuale. Affidabilita: ALTA. Fonte/criterio: Nido Nilde Iotti / Polo Agora, Via Fratelli Bandiera 12C. Coordinate pubblicate nel Censimento delle architetture contemporanee del Ministero della Cultura. URL: https://censimentoarchitetturecontemporanee.cultura.gov.it/scheda-opera?id=4862</t>
        </r>
      </text>
    </comment>
    <comment ref="K36" authorId="1" shapeId="0" xr:uid="{A545EB95-9BBD-488A-9FCE-42DAB1734816}">
      <text>
        <r>
          <rPr>
            <sz val="10"/>
            <rFont val="Arial"/>
            <family val="2"/>
          </rPr>
          <t>Geolocalizzazione integrata. Tipo: Puntuale. Affidabilita: ALTA. Fonte/criterio: Nido Nilde Iotti / Polo Agora, Via Fratelli Bandiera 12C. Coordinate pubblicate nel Censimento delle architetture contemporanee del Ministero della Cultura. URL: https://censimentoarchitetturecontemporanee.cultura.gov.it/scheda-opera?id=4862</t>
        </r>
      </text>
    </comment>
    <comment ref="J37" authorId="1" shapeId="0" xr:uid="{1828FF39-97CE-49EF-AE8C-044BFE82CDFB}">
      <text>
        <r>
          <rPr>
            <sz val="10"/>
            <rFont val="Arial"/>
            <family val="2"/>
          </rPr>
          <t>Geolocalizzazione integrata. Tipo: Puntuale/area parco. Affidabilita: ALTA. Fonte/criterio: Parco Nilde Iotti (gia Parco Ottavi). Punto rappresentativo dell area del Parco Ottavi/Nilde Iotti. URL: https://www.comune.reggioemilia.it/argomenti/mobilita/progetti/reggio-emilia-citta-dei-sentieri/i-sentieri/anello-alex-langer/documenti-allegati/punti-di-interesse.pdf</t>
        </r>
      </text>
    </comment>
    <comment ref="K37" authorId="1" shapeId="0" xr:uid="{5F58212D-AF40-4B6B-9E66-D15CCC2A893C}">
      <text>
        <r>
          <rPr>
            <sz val="10"/>
            <rFont val="Arial"/>
            <family val="2"/>
          </rPr>
          <t>Geolocalizzazione integrata. Tipo: Puntuale/area parco. Affidabilita: ALTA. Fonte/criterio: Parco Nilde Iotti (gia Parco Ottavi). Punto rappresentativo dell area del Parco Ottavi/Nilde Iotti. URL: https://www.comune.reggioemilia.it/argomenti/mobilita/progetti/reggio-emilia-citta-dei-sentieri/i-sentieri/anello-alex-langer/documenti-allegati/punti-di-interesse.pdf</t>
        </r>
      </text>
    </comment>
    <comment ref="J40" authorId="1" shapeId="0" xr:uid="{1E79F6A3-35E9-4201-A1BA-488437C628EE}">
      <text>
        <r>
          <rPr>
            <sz val="10"/>
            <rFont val="Arial"/>
            <family val="2"/>
          </rPr>
          <t>Geolocalizzazione integrata. Tipo: Rappresentativo su via. Affidabilita: MEDIA. Fonte/criterio: Via Manzotti, Masone. Punto rappresentativo della via per la nuova Cittadella dello Sport. URL: https://www.italiamappe.it/stradario/reggio-nell%27emilia/</t>
        </r>
      </text>
    </comment>
    <comment ref="K40" authorId="1" shapeId="0" xr:uid="{37B70A8C-5C92-40D3-8CC5-767DFFF23B20}">
      <text>
        <r>
          <rPr>
            <sz val="10"/>
            <rFont val="Arial"/>
            <family val="2"/>
          </rPr>
          <t>Geolocalizzazione integrata. Tipo: Rappresentativo su via. Affidabilita: MEDIA. Fonte/criterio: Via Manzotti, Masone. Punto rappresentativo della via per la nuova Cittadella dello Sport. URL: https://www.italiamappe.it/stradario/reggio-nell%27emilia/</t>
        </r>
      </text>
    </comment>
    <comment ref="J41" authorId="1" shapeId="0" xr:uid="{46BC11E0-92CC-4AB2-9363-D8AAAE0673C0}">
      <text>
        <r>
          <rPr>
            <sz val="10"/>
            <rFont val="Arial"/>
            <family val="2"/>
          </rPr>
          <t>Geolocalizzazione integrata. Tipo: Puntuale. Affidabilita: ALTA. Fonte/criterio: Stadio Mirabello. Centro dello stadio; il civico pubblico ricorrente e Via Giacomo Matteotti 2. URL: https://mapcarta.com/search?q=Stadio%20Mirabello%20Reggio%20Emilia</t>
        </r>
      </text>
    </comment>
    <comment ref="K41" authorId="1" shapeId="0" xr:uid="{AF9D11E0-DAA5-4F33-9CC7-A4B23441AAD6}">
      <text>
        <r>
          <rPr>
            <sz val="10"/>
            <rFont val="Arial"/>
            <family val="2"/>
          </rPr>
          <t>Geolocalizzazione integrata. Tipo: Puntuale. Affidabilita: ALTA. Fonte/criterio: Stadio Mirabello. Centro dello stadio; il civico pubblico ricorrente e Via Giacomo Matteotti 2. URL: https://mapcarta.com/search?q=Stadio%20Mirabello%20Reggio%20Emilia</t>
        </r>
      </text>
    </comment>
    <comment ref="J44" authorId="1" shapeId="0" xr:uid="{182729F8-B606-4D4B-857F-A4617B357FB8}">
      <text>
        <r>
          <rPr>
            <sz val="10"/>
            <rFont val="Arial"/>
            <family val="2"/>
          </rPr>
          <t>Geolocalizzazione integrata. Tipo: Rappresentativo lineare. Affidabilita: BASSA. Fonte/criterio: Punto medio rappresentativo del collegamento San Lazzaro-centro. Intervento ciclabile lineare: usare una LineString quando disponibile. URL: https://www.comune.reggioemilia.it/argomenti/mobilita</t>
        </r>
      </text>
    </comment>
    <comment ref="K44" authorId="1" shapeId="0" xr:uid="{87A4D1D3-195F-4414-86D4-E21BCCB1B43C}">
      <text>
        <r>
          <rPr>
            <sz val="10"/>
            <rFont val="Arial"/>
            <family val="2"/>
          </rPr>
          <t>Geolocalizzazione integrata. Tipo: Rappresentativo lineare. Affidabilita: BASSA. Fonte/criterio: Punto medio rappresentativo del collegamento San Lazzaro-centro. Intervento ciclabile lineare: usare una LineString quando disponibile. URL: https://www.comune.reggioemilia.it/argomenti/mobilita</t>
        </r>
      </text>
    </comment>
    <comment ref="L44" authorId="0" shapeId="0" xr:uid="{8E7ECC29-9084-462E-8203-C7297B561916}">
      <text>
        <r>
          <rPr>
            <b/>
            <sz val="9"/>
            <color indexed="81"/>
            <rFont val="Tahoma"/>
            <family val="2"/>
          </rPr>
          <t>Raffaele Davolio:</t>
        </r>
        <r>
          <rPr>
            <sz val="9"/>
            <color indexed="81"/>
            <rFont val="Tahoma"/>
            <family val="2"/>
          </rPr>
          <t xml:space="preserve">
Geolocalizzazione integrata. Tipo: Fine tracciato lineare. Affidabilità: BASSA. Fonte/criterio: Centro città (Piazza Prampolini, area via Cialdini) come estremo del completamento ciclovia 1/2 San Lazzaro-centro. Coordinata di centro città usata come approssimazione; via Cialdini non geocodificata puntualmente. URL: stima interna</t>
        </r>
      </text>
    </comment>
    <comment ref="J45" authorId="1" shapeId="0" xr:uid="{7B6C81BE-7952-49EB-A2EE-B8EFACF3166C}">
      <text>
        <r>
          <rPr>
            <sz val="10"/>
            <rFont val="Arial"/>
            <family val="2"/>
          </rPr>
          <t>Geolocalizzazione integrata. Tipo: Inizio tracciato lineare. Affidabilità: ALTA. Fonte/criterio: Stazione Reggio Emilia AV Mediopadana. URL: https://it.m.wikipedia.org/wiki/Stazione_di_Reggio_Emilia_AV_Mediopadana</t>
        </r>
      </text>
    </comment>
    <comment ref="K45" authorId="1" shapeId="0" xr:uid="{FFF5018D-F974-461B-93F2-87FFDDECF540}">
      <text>
        <r>
          <rPr>
            <sz val="10"/>
            <rFont val="Arial"/>
            <family val="2"/>
          </rPr>
          <t>Geolocalizzazione integrata. Tipo: Rappresentativo lineare. Affidabilita: BASSA. Fonte/criterio: Tratto nord presso Via Filangieri/Gramsci. Superciclabile estesa: marker rappresentativo del corridoio nord. URL: https://www.italiamappe.it/stradario/reggio-nell%27emilia/</t>
        </r>
      </text>
    </comment>
    <comment ref="L45" authorId="0" shapeId="0" xr:uid="{4282E298-63A6-48E1-88D5-D9ECE378753D}">
      <text>
        <r>
          <rPr>
            <b/>
            <sz val="9"/>
            <color indexed="81"/>
            <rFont val="Tahoma"/>
            <family val="2"/>
          </rPr>
          <t>Raffaele Davolio:</t>
        </r>
        <r>
          <rPr>
            <sz val="9"/>
            <color indexed="81"/>
            <rFont val="Tahoma"/>
            <family val="2"/>
          </rPr>
          <t xml:space="preserve">
Geolocalizzazione integrata. Tipo: Fine tracciato lineare. Affidabilità: BASSA. Fonte/criterio: Confine comunale nord (area Filangieri/Gramsci), punto già usato come rappresentativo prima della separazione inizio/fine. URL: https://www.italiamappe.it/stradario/reggio-nell%27emilia/</t>
        </r>
      </text>
    </comment>
    <comment ref="J46" authorId="1" shapeId="0" xr:uid="{EFBFE920-18D1-4F86-8B66-D4BFB6015BA3}">
      <text>
        <r>
          <rPr>
            <sz val="10"/>
            <rFont val="Arial"/>
            <family val="2"/>
          </rPr>
          <t>Geolocalizzazione integrata. Tipo: Inizio tracciato lineare. Affidabilità: BASSA. Fonte/criterio: Frazione Rivalta (Reggio Emilia), circa 6 km a sud del centro città; nessuna coordinata puntuale pubblicata trovata, stima da distanza/direzione nota. URL: https://maps.apple.com/place?auid=14838136799671959618</t>
        </r>
      </text>
    </comment>
    <comment ref="K46" authorId="1" shapeId="0" xr:uid="{A78BC375-A162-4B84-968C-C001E131AE30}">
      <text>
        <r>
          <rPr>
            <sz val="10"/>
            <rFont val="Arial"/>
            <family val="2"/>
          </rPr>
          <t>Geolocalizzazione integrata. Tipo: Rappresentativo lineare. Affidabilita: BASSA. Fonte/criterio: Punto rappresentativo del corridoio Rivalta-Mancasale. Superciclabile molto estesa: marker di sintesi; preferibile geometria lineare. URL: https://www.comune.reggioemilia.it/argomenti/mobilita</t>
        </r>
      </text>
    </comment>
    <comment ref="L46" authorId="0" shapeId="0" xr:uid="{948D24F8-7CD8-4F0D-B5FA-5C13E826C4AB}">
      <text>
        <r>
          <rPr>
            <b/>
            <sz val="9"/>
            <color indexed="81"/>
            <rFont val="Tahoma"/>
            <family val="2"/>
          </rPr>
          <t>Raffaele Davolio:</t>
        </r>
        <r>
          <rPr>
            <sz val="9"/>
            <color indexed="81"/>
            <rFont val="Tahoma"/>
            <family val="2"/>
          </rPr>
          <t xml:space="preserve">
Geolocalizzazione integrata. Tipo: Fine tracciato lineare. Affidabilità: MEDIA. Fonte/criterio: Quartiere Mancasale. URL: https://www.italiamappe.it/stradario/reggio-nell'emilia/quartiere-mancasale/</t>
        </r>
      </text>
    </comment>
    <comment ref="J50" authorId="1" shapeId="0" xr:uid="{06657563-7C13-4C8A-B997-4D78F7C984B4}">
      <text>
        <r>
          <rPr>
            <sz val="10"/>
            <rFont val="Arial"/>
            <family val="2"/>
          </rPr>
          <t>Geolocalizzazione integrata. Tipo: Rappresentativo multi-sito. Affidabilita: MEDIA. Fonte/criterio: Uno dei due immobili del CUP: Via Brigata Reggio 30; l altro e Via Mazzini 6. CUP multisito. Il marker rappresenta Via Brigata Reggio 30; mantenere nota dei due immobili. URL: https://www.comune.reggioemilia.it/amministrazione/documenti-e-dati/avvisi-e-bandi/bandi-di-gara-e-contratti-profilo-di-committente/stazione-appaltante-comune-di-reggio-emilia/lavori/pnrr-m5c2-i1-2-realizzazione-di-abitazioni-immobile-sito-in-via-mazzini-6-e-via-brigata-reggio-cig</t>
        </r>
      </text>
    </comment>
    <comment ref="K50" authorId="1" shapeId="0" xr:uid="{5167F61C-5A10-4ABD-B705-380C23D474D5}">
      <text>
        <r>
          <rPr>
            <sz val="10"/>
            <rFont val="Arial"/>
            <family val="2"/>
          </rPr>
          <t>Geolocalizzazione integrata. Tipo: Rappresentativo multi-sito. Affidabilita: MEDIA. Fonte/criterio: Uno dei due immobili del CUP: Via Brigata Reggio 30; l altro e Via Mazzini 6. CUP multisito. Il marker rappresenta Via Brigata Reggio 30; mantenere nota dei due immobili. URL: https://www.comune.reggioemilia.it/amministrazione/documenti-e-dati/avvisi-e-bandi/bandi-di-gara-e-contratti-profilo-di-committente/stazione-appaltante-comune-di-reggio-emilia/lavori/pnrr-m5c2-i1-2-realizzazione-di-abitazioni-immobile-sito-in-via-mazzini-6-e-via-brigata-reggio-cig</t>
        </r>
      </text>
    </comment>
    <comment ref="J52" authorId="1" shapeId="0" xr:uid="{ECE967AC-F421-4C70-AAA1-E362E8B053E6}">
      <text>
        <r>
          <rPr>
            <sz val="10"/>
            <rFont val="Arial"/>
            <family val="2"/>
          </rPr>
          <t>Geolocalizzazione integrata. Tipo: Rappresentativo su via. Affidabilita: BASSA. Fonte/criterio: Via Dalmazia; riferimento cartografico prossimo al civico 85. Il riferimento disponibile e per Via Dalmazia 101; il civico 85 e prossimo ma va verificato per uso di precisione. URL: https://www.blia.it/in/96982-46178</t>
        </r>
      </text>
    </comment>
    <comment ref="K52" authorId="1" shapeId="0" xr:uid="{8C1DAC32-6738-433A-B087-1AC682258BD4}">
      <text>
        <r>
          <rPr>
            <sz val="10"/>
            <rFont val="Arial"/>
            <family val="2"/>
          </rPr>
          <t>Geolocalizzazione integrata. Tipo: Rappresentativo su via. Affidabilita: BASSA. Fonte/criterio: Via Dalmazia; riferimento cartografico prossimo al civico 85. Il riferimento disponibile e per Via Dalmazia 101; il civico 85 e prossimo ma va verificato per uso di precisione. URL: https://www.blia.it/in/96982-46178</t>
        </r>
      </text>
    </comment>
    <comment ref="J53" authorId="1" shapeId="0" xr:uid="{79F87785-5826-4930-8AF0-DE85020B5DDE}">
      <text>
        <r>
          <rPr>
            <sz val="10"/>
            <rFont val="Arial"/>
            <family val="2"/>
          </rPr>
          <t>Geolocalizzazione integrata. Tipo: Rappresentativo su via. Affidabilita: MEDIA. Fonte/criterio: Via John Fitzgerald Kennedy, area civici 15-17. Coordinate rappresentative del tratto di Via Kennedy; indirizzo 15-17 confermato da fonti pubbliche. URL: https://www.italiamappe.it/stradario/reggio-nell%27emilia/via-john-fitzgerald-kennedy/</t>
        </r>
      </text>
    </comment>
    <comment ref="K53" authorId="1" shapeId="0" xr:uid="{484B4700-2A73-4A3B-8CA6-B0AE51268BA9}">
      <text>
        <r>
          <rPr>
            <sz val="10"/>
            <rFont val="Arial"/>
            <family val="2"/>
          </rPr>
          <t>Geolocalizzazione integrata. Tipo: Rappresentativo su via. Affidabilita: MEDIA. Fonte/criterio: Via John Fitzgerald Kennedy, area civici 15-17. Coordinate rappresentative del tratto di Via Kennedy; indirizzo 15-17 confermato da fonti pubbliche. URL: https://www.italiamappe.it/stradario/reggio-nell%27emilia/via-john-fitzgerald-kennedy/</t>
        </r>
      </text>
    </comment>
    <comment ref="J56" authorId="1" shapeId="0" xr:uid="{5FDB7D4E-8AE9-45AB-BD10-F671D450FBC2}">
      <text>
        <r>
          <rPr>
            <sz val="10"/>
            <rFont val="Arial"/>
            <family val="2"/>
          </rPr>
          <t>Geolocalizzazione integrata. Tipo: Puntuale. Affidabilita: ALTA. Fonte/criterio: Palazzo dei Musei, Via Lazzaro Spallanzani 1. Coordinate del Palazzo dei Musei/edificio. URL: https://cultura.gov.it/luogo/palazzo-dei-musei-reggio-emilia</t>
        </r>
      </text>
    </comment>
    <comment ref="K56" authorId="1" shapeId="0" xr:uid="{8FEB6820-736C-4629-8EB0-AD5E3BC619D0}">
      <text>
        <r>
          <rPr>
            <sz val="10"/>
            <rFont val="Arial"/>
            <family val="2"/>
          </rPr>
          <t>Geolocalizzazione integrata. Tipo: Puntuale. Affidabilita: ALTA. Fonte/criterio: Palazzo dei Musei, Via Lazzaro Spallanzani 1. Coordinate del Palazzo dei Musei/edificio. URL: https://cultura.gov.it/luogo/palazzo-dei-musei-reggio-emilia</t>
        </r>
      </text>
    </comment>
    <comment ref="J57" authorId="1" shapeId="0" xr:uid="{E8CE688B-95F9-4087-A8DD-903AFE57C59B}">
      <text>
        <r>
          <rPr>
            <sz val="10"/>
            <rFont val="Arial"/>
            <family val="2"/>
          </rPr>
          <t>Geolocalizzazione integrata. Tipo: Propagata per CUP. Affidabilita: ALTA. Fonte/criterio: Stesso CUP e stesso sito fisico della riga 56. Riga di spesa corrente collegata allo stesso CUP e al medesimo edificio. URL: https://cultura.gov.it/luogo/palazzo-dei-musei-reggio-emilia</t>
        </r>
      </text>
    </comment>
    <comment ref="K57" authorId="1" shapeId="0" xr:uid="{20E3958C-F67B-43A0-A52A-E1D8F53636A4}">
      <text>
        <r>
          <rPr>
            <sz val="10"/>
            <rFont val="Arial"/>
            <family val="2"/>
          </rPr>
          <t>Geolocalizzazione integrata. Tipo: Propagata per CUP. Affidabilita: ALTA. Fonte/criterio: Stesso CUP e stesso sito fisico della riga 56. Riga di spesa corrente collegata allo stesso CUP e al medesimo edificio. URL: https://cultura.gov.it/luogo/palazzo-dei-musei-reggio-emilia</t>
        </r>
      </text>
    </comment>
    <comment ref="J60" authorId="0" shapeId="0" xr:uid="{EA5815ED-0D4D-4674-8D66-7477BD10B9FD}">
      <text>
        <r>
          <rPr>
            <sz val="10"/>
            <rFont val="Arial"/>
            <family val="2"/>
          </rPr>
          <t>Raffaele Davolio:
Source: italiamappe.it, https://www.italiamappe.it/stradario/reggio-nell'emilia/via-pier-giacinto-terrachini/</t>
        </r>
      </text>
    </comment>
    <comment ref="K60" authorId="0" shapeId="0" xr:uid="{C4CCBA84-E61E-4ECA-B5EF-F68424A47002}">
      <text>
        <r>
          <rPr>
            <sz val="10"/>
            <rFont val="Arial"/>
            <family val="2"/>
          </rPr>
          <t>Raffaele Davolio:
Source: italiamappe.it, https://www.italiamappe.it/stradario/reggio-nell'emilia/via-pier-giacinto-terrachini/</t>
        </r>
      </text>
    </comment>
    <comment ref="J63" authorId="0" shapeId="0" xr:uid="{D06DB2F9-492C-4D01-81C0-DFB13F012583}">
      <text>
        <r>
          <rPr>
            <sz val="10"/>
            <rFont val="Arial"/>
            <family val="2"/>
          </rPr>
          <t>Raffaele Davolio:
Source: italiamappe.it, https://www.italiamappe.it/stradario/reggio-nell'emilia/via-giuseppe-galliano/</t>
        </r>
      </text>
    </comment>
    <comment ref="K63" authorId="0" shapeId="0" xr:uid="{702F424C-E94C-4CBB-B3D0-3ED005BD13CA}">
      <text>
        <r>
          <rPr>
            <sz val="10"/>
            <rFont val="Arial"/>
            <family val="2"/>
          </rPr>
          <t>Raffaele Davolio:
Source: italiamappe.it, https://www.italiamappe.it/stradario/reggio-nell'emilia/via-giuseppe-galliano/</t>
        </r>
      </text>
    </comment>
    <comment ref="J64" authorId="1" shapeId="0" xr:uid="{7A402423-D3AA-4660-A601-26AD43451553}">
      <text>
        <r>
          <rPr>
            <sz val="10"/>
            <rFont val="Arial"/>
            <family val="2"/>
          </rPr>
          <t>Geolocalizzazione integrata. Tipo: Rappresentativo su via. Affidabilita: MEDIA. Fonte/criterio: Via Werter Asseverati / area ex GOLD. Punto rappresentativo lungo Via Asseverati; area produttiva est. URL: https://www.italiamappe.it/stradario/reggio-nell%27emilia/</t>
        </r>
      </text>
    </comment>
    <comment ref="K64" authorId="1" shapeId="0" xr:uid="{7052B044-A19F-4BEC-91DA-219743185EAC}">
      <text>
        <r>
          <rPr>
            <sz val="10"/>
            <rFont val="Arial"/>
            <family val="2"/>
          </rPr>
          <t>Geolocalizzazione integrata. Tipo: Rappresentativo su via. Affidabilita: MEDIA. Fonte/criterio: Via Werter Asseverati / area ex GOLD. Punto rappresentativo lungo Via Asseverati; area produttiva est. URL: https://www.italiamappe.it/stradario/reggio-nell%27emilia/</t>
        </r>
      </text>
    </comment>
    <comment ref="J67" authorId="1" shapeId="0" xr:uid="{E5C8143D-198C-44D6-A2BD-A5E502B28A3A}">
      <text>
        <r>
          <rPr>
            <sz val="10"/>
            <rFont val="Arial"/>
            <family val="2"/>
          </rPr>
          <t>Geolocalizzazione integrata. Tipo: Puntuale stimato. Affidabilita: MEDIA. Fonte/criterio: Nido Allende, Via Gattalupa 5. Indirizzo ufficiale; punto ricostruito dai civici adiacenti della stessa via. URL: https://www.provincia.re.it/</t>
        </r>
      </text>
    </comment>
    <comment ref="K67" authorId="1" shapeId="0" xr:uid="{DFC64071-33CC-442F-ACC2-73C0C2C3D40B}">
      <text>
        <r>
          <rPr>
            <sz val="10"/>
            <rFont val="Arial"/>
            <family val="2"/>
          </rPr>
          <t>Geolocalizzazione integrata. Tipo: Puntuale stimato. Affidabilita: MEDIA. Fonte/criterio: Nido Allende, Via Gattalupa 5. Indirizzo ufficiale; punto ricostruito dai civici adiacenti della stessa via. URL: https://www.provincia.re.it/</t>
        </r>
      </text>
    </comment>
    <comment ref="J68" authorId="1" shapeId="0" xr:uid="{9803755E-8727-493F-9EEC-DFBD99939F10}">
      <text>
        <r>
          <rPr>
            <sz val="10"/>
            <rFont val="Arial"/>
            <family val="2"/>
          </rPr>
          <t>Geolocalizzazione integrata. Tipo: Puntuale. Affidabilita: ALTA. Fonte/criterio: Nido Bellelli, Via G. Puccini 28. Coordinata associata al civico 28. URL: https://www.reteimprese.it/</t>
        </r>
      </text>
    </comment>
    <comment ref="K68" authorId="1" shapeId="0" xr:uid="{BD2D65A8-B71C-4071-B512-315C5A43F386}">
      <text>
        <r>
          <rPr>
            <sz val="10"/>
            <rFont val="Arial"/>
            <family val="2"/>
          </rPr>
          <t>Geolocalizzazione integrata. Tipo: Puntuale. Affidabilita: ALTA. Fonte/criterio: Nido Bellelli, Via G. Puccini 28. Coordinata associata al civico 28. URL: https://www.reteimprese.it/</t>
        </r>
      </text>
    </comment>
    <comment ref="J69" authorId="1" shapeId="0" xr:uid="{5F59A244-8F25-4BDB-B741-BF4C0E7FC0FB}">
      <text>
        <r>
          <rPr>
            <sz val="10"/>
            <rFont val="Arial"/>
            <family val="2"/>
          </rPr>
          <t>Geolocalizzazione integrata. Tipo: Puntuale. Affidabilita: ALTA. Fonte/criterio: Nido scuola O. Sarzi, Via Guasco 10. Coordinate del civico/edificio. URL: https://www.blia.it/</t>
        </r>
      </text>
    </comment>
    <comment ref="K69" authorId="1" shapeId="0" xr:uid="{66A842A7-ABB7-400C-99F5-671E5EB2A813}">
      <text>
        <r>
          <rPr>
            <sz val="10"/>
            <rFont val="Arial"/>
            <family val="2"/>
          </rPr>
          <t>Geolocalizzazione integrata. Tipo: Puntuale. Affidabilita: ALTA. Fonte/criterio: Nido scuola O. Sarzi, Via Guasco 10. Coordinate del civico/edificio. URL: https://www.blia.it/</t>
        </r>
      </text>
    </comment>
    <comment ref="J70" authorId="1" shapeId="0" xr:uid="{1BC6F26F-271B-42FB-B0F9-1FEB50A2B53B}">
      <text>
        <r>
          <rPr>
            <sz val="10"/>
            <rFont val="Arial"/>
            <family val="2"/>
          </rPr>
          <t>Geolocalizzazione integrata. Tipo: Rappresentativo su via. Affidabilita: MEDIA. Fonte/criterio: Via Pinotti. Punto rappresentativo del ponte su Via Pinotti/tangenziale. URL: https://www.italiamappe.it/stradario/reggio-nell%27emilia/</t>
        </r>
      </text>
    </comment>
    <comment ref="K70" authorId="1" shapeId="0" xr:uid="{AE575552-60A5-418E-BE9B-A6AB6D71042F}">
      <text>
        <r>
          <rPr>
            <sz val="10"/>
            <rFont val="Arial"/>
            <family val="2"/>
          </rPr>
          <t>Geolocalizzazione integrata. Tipo: Rappresentativo su via. Affidabilita: MEDIA. Fonte/criterio: Via Pinotti. Punto rappresentativo del ponte su Via Pinotti/tangenziale. URL: https://www.italiamappe.it/stradario/reggio-nell%27emilia/</t>
        </r>
      </text>
    </comment>
    <comment ref="J71" authorId="1" shapeId="0" xr:uid="{494DB90E-5D96-49BF-ABAB-16562EB4AC3E}">
      <text>
        <r>
          <rPr>
            <sz val="10"/>
            <rFont val="Arial"/>
            <family val="2"/>
          </rPr>
          <t>Geolocalizzazione integrata. Tipo: Rappresentativo lineare. Affidabilita: BASSA. Fonte/criterio: Viale dei Trattati di Roma, area nord. Lotto ponti Area Nord: punto rappresentativo sul viale; non distingue il singolo manufatto. URL: https://www.mappepercorsi.it/genova-montecavolo-pianificatore-di-itinerario-google-google-map/</t>
        </r>
      </text>
    </comment>
    <comment ref="K71" authorId="1" shapeId="0" xr:uid="{659F7DCD-A923-46C9-A277-24F8B4FB6286}">
      <text>
        <r>
          <rPr>
            <sz val="10"/>
            <rFont val="Arial"/>
            <family val="2"/>
          </rPr>
          <t>Geolocalizzazione integrata. Tipo: Rappresentativo lineare. Affidabilita: BASSA. Fonte/criterio: Viale dei Trattati di Roma, area nord. Lotto ponti Area Nord: punto rappresentativo sul viale; non distingue il singolo manufatto. URL: https://www.mappepercorsi.it/genova-montecavolo-pianificatore-di-itinerario-google-google-map/</t>
        </r>
      </text>
    </comment>
    <comment ref="J72" authorId="1" shapeId="0" xr:uid="{0A62AD9D-F1DC-4369-B14A-006E4B28531A}">
      <text>
        <r>
          <rPr>
            <sz val="10"/>
            <rFont val="Arial"/>
            <family val="2"/>
          </rPr>
          <t>Geolocalizzazione integrata. Tipo: Rappresentativo lineare. Affidabilita: BASSA. Fonte/criterio: Viale dei Trattati di Roma, area nord. Lotto ponti Area Nord: punto rappresentativo sul viale; non distingue il singolo manufatto. URL: https://www.mappepercorsi.it/genova-montecavolo-pianificatore-di-itinerario-google-google-map/</t>
        </r>
      </text>
    </comment>
    <comment ref="K72" authorId="1" shapeId="0" xr:uid="{605407F4-1998-40EF-9844-E8BBA0AC1EF3}">
      <text>
        <r>
          <rPr>
            <sz val="10"/>
            <rFont val="Arial"/>
            <family val="2"/>
          </rPr>
          <t>Geolocalizzazione integrata. Tipo: Rappresentativo lineare. Affidabilita: BASSA. Fonte/criterio: Viale dei Trattati di Roma, area nord. Lotto ponti Area Nord: punto rappresentativo sul viale; non distingue il singolo manufatto. URL: https://www.mappepercorsi.it/genova-montecavolo-pianificatore-di-itinerario-google-google-map/</t>
        </r>
      </text>
    </comment>
    <comment ref="J73" authorId="1" shapeId="0" xr:uid="{904FACBD-8AC0-4BCE-80F1-3F041C7938D0}">
      <text>
        <r>
          <rPr>
            <sz val="10"/>
            <rFont val="Arial"/>
            <family val="2"/>
          </rPr>
          <t>Geolocalizzazione integrata. Tipo: Rappresentativo lineare. Affidabilita: BASSA. Fonte/criterio: Viale dei Trattati di Roma, area nord. Lotto ponti Area Nord: punto rappresentativo sul viale; non distingue il singolo manufatto. URL: https://www.mappepercorsi.it/genova-montecavolo-pianificatore-di-itinerario-google-google-map/</t>
        </r>
      </text>
    </comment>
    <comment ref="K73" authorId="1" shapeId="0" xr:uid="{CA7AAC97-6A22-46A2-8FB1-725FC91067A9}">
      <text>
        <r>
          <rPr>
            <sz val="10"/>
            <rFont val="Arial"/>
            <family val="2"/>
          </rPr>
          <t>Geolocalizzazione integrata. Tipo: Rappresentativo lineare. Affidabilita: BASSA. Fonte/criterio: Viale dei Trattati di Roma, area nord. Lotto ponti Area Nord: punto rappresentativo sul viale; non distingue il singolo manufatto. URL: https://www.mappepercorsi.it/genova-montecavolo-pianificatore-di-itinerario-google-google-map/</t>
        </r>
      </text>
    </comment>
    <comment ref="J74" authorId="1" shapeId="0" xr:uid="{37EDF1CF-A3E0-45EF-B7E4-0021BFA48656}">
      <text>
        <r>
          <rPr>
            <sz val="10"/>
            <rFont val="Arial"/>
            <family val="2"/>
          </rPr>
          <t>Geolocalizzazione integrata. Tipo: Rappresentativo su via. Affidabilita: MEDIA. Fonte/criterio: Via Werter Asseverati. Punto rappresentativo del ponte/barriere lungo Via Asseverati. URL: https://www.italiamappe.it/stradario/reggio-nell%27emilia/</t>
        </r>
      </text>
    </comment>
    <comment ref="K74" authorId="1" shapeId="0" xr:uid="{BB1A6C0B-B5F5-42FF-80D3-20CA9B4F604B}">
      <text>
        <r>
          <rPr>
            <sz val="10"/>
            <rFont val="Arial"/>
            <family val="2"/>
          </rPr>
          <t>Geolocalizzazione integrata. Tipo: Rappresentativo su via. Affidabilita: MEDIA. Fonte/criterio: Via Werter Asseverati. Punto rappresentativo del ponte/barriere lungo Via Asseverati. URL: https://www.italiamappe.it/stradario/reggio-nell%27emilia/</t>
        </r>
      </text>
    </comment>
    <comment ref="J75" authorId="1" shapeId="0" xr:uid="{886B4469-AB3D-465C-BAA9-0B4F3D90AB03}">
      <text>
        <r>
          <rPr>
            <sz val="10"/>
            <rFont val="Arial"/>
            <family val="2"/>
          </rPr>
          <t>Geolocalizzazione integrata. Tipo: Puntuale/area. Affidabilita: ALTA. Fonte/criterio: Via Karl Marx, riferimento cartografico da documentazione territoriale. Coordinate WGS84 pubblicate per punti di monitoraggio su Via Karl Marx; usate come riferimento dell opera. URL: https://www.slideshare.net/slideshow/cre02-presentazione-sia-rp-rev-b/40194553</t>
        </r>
      </text>
    </comment>
    <comment ref="K75" authorId="1" shapeId="0" xr:uid="{F2CA46BC-42AA-4CAF-BDF3-7C5A8DCC7341}">
      <text>
        <r>
          <rPr>
            <sz val="10"/>
            <rFont val="Arial"/>
            <family val="2"/>
          </rPr>
          <t>Geolocalizzazione integrata. Tipo: Puntuale/area. Affidabilita: ALTA. Fonte/criterio: Via Karl Marx, riferimento cartografico da documentazione territoriale. Coordinate WGS84 pubblicate per punti di monitoraggio su Via Karl Marx; usate come riferimento dell opera. URL: https://www.slideshare.net/slideshow/cre02-presentazione-sia-rp-rev-b/40194553</t>
        </r>
      </text>
    </comment>
    <comment ref="J78" authorId="1" shapeId="0" xr:uid="{46D8118D-665A-428E-8798-A046060759C5}">
      <text>
        <r>
          <rPr>
            <sz val="10"/>
            <rFont val="Arial"/>
            <family val="2"/>
          </rPr>
          <t>Geolocalizzazione integrata. Tipo: Puntuale. Affidabilita: ALTA. Fonte/criterio: Scuola San Giovanni Bosco, Via Bismantova 23. Coordinate del civico/edificio scolastico. URL: https://www.comune.reggioemilia.it/</t>
        </r>
      </text>
    </comment>
    <comment ref="K78" authorId="1" shapeId="0" xr:uid="{4E90498C-19E8-4EAA-B9CA-54042783B1F3}">
      <text>
        <r>
          <rPr>
            <sz val="10"/>
            <rFont val="Arial"/>
            <family val="2"/>
          </rPr>
          <t>Geolocalizzazione integrata. Tipo: Puntuale. Affidabilita: ALTA. Fonte/criterio: Scuola San Giovanni Bosco, Via Bismantova 23. Coordinate del civico/edificio scolastico. URL: https://www.comune.reggioemilia.it/</t>
        </r>
      </text>
    </comment>
    <comment ref="J82" authorId="1" shapeId="0" xr:uid="{CE8CD6AB-682A-4DC6-AB97-DC6949385518}">
      <text>
        <r>
          <rPr>
            <sz val="10"/>
            <rFont val="Arial"/>
            <family val="2"/>
          </rPr>
          <t>Geolocalizzazione integrata. Tipo: Puntuale. Affidabilita: ALTA. Fonte/criterio: Centro Internazionale Loris Malaguzzi, Viale Ramazzini 72/A. Coordinate pubblicate in banca dati culturale; indirizzo confermato dal Comune. URL: https://censimentoarchitetturecontemporanee.cultura.gov.it/</t>
        </r>
      </text>
    </comment>
    <comment ref="K82" authorId="1" shapeId="0" xr:uid="{3DC3FD28-302E-4223-9C4B-344733CC9A50}">
      <text>
        <r>
          <rPr>
            <sz val="10"/>
            <rFont val="Arial"/>
            <family val="2"/>
          </rPr>
          <t>Geolocalizzazione integrata. Tipo: Puntuale. Affidabilita: ALTA. Fonte/criterio: Centro Internazionale Loris Malaguzzi, Viale Ramazzini 72/A. Coordinate pubblicate in banca dati culturale; indirizzo confermato dal Comune. URL: https://censimentoarchitetturecontemporanee.cultura.gov.it/</t>
        </r>
      </text>
    </comment>
    <comment ref="J83" authorId="1" shapeId="0" xr:uid="{BFF576FF-F8FA-426A-9678-773A41B22BF0}">
      <text>
        <r>
          <rPr>
            <sz val="10"/>
            <rFont val="Arial"/>
            <family val="2"/>
          </rPr>
          <t>Geolocalizzazione integrata. Tipo: Puntuale. Affidabilita: ALTA. Fonte/criterio: Centro Internazionale Loris Malaguzzi, Viale Ramazzini 72/A. Stesso edificio della riga 80. URL: https://censimentoarchitetturecontemporanee.cultura.gov.it/</t>
        </r>
      </text>
    </comment>
    <comment ref="K83" authorId="1" shapeId="0" xr:uid="{FE963840-3A93-4E38-BCB7-28ECDA782E13}">
      <text>
        <r>
          <rPr>
            <sz val="10"/>
            <rFont val="Arial"/>
            <family val="2"/>
          </rPr>
          <t>Geolocalizzazione integrata. Tipo: Puntuale. Affidabilita: ALTA. Fonte/criterio: Centro Internazionale Loris Malaguzzi, Viale Ramazzini 72/A. Stesso edificio della riga 80. URL: https://censimentoarchitetturecontemporanee.cultura.gov.it/</t>
        </r>
      </text>
    </comment>
    <comment ref="H86" authorId="1" shapeId="0" xr:uid="{23735440-482B-4186-867E-85921DD8ECF1}">
      <text>
        <r>
          <rPr>
            <sz val="10"/>
            <rFont val="Arial"/>
            <family val="2"/>
          </rPr>
          <t>Termine finale previsto specifico. Fonte: Comune di Reggio Emilia - monitoraggio PNRR. Scadenza specifica pubblicata nel monitoraggio comunale. URL: https://www.comune.reggioemilia.it/amministrazione-trasparente/controlli-e-rilievi-sullamministrazione/organi-di-revisione-amministrativa-e-contabile/collegio-dei-revisori-verbale-n-44-parere-sul-bilancio-di-previsione-2025-27-pdf.pdf</t>
        </r>
      </text>
    </comment>
    <comment ref="J86" authorId="1" shapeId="0" xr:uid="{7453A0C3-00A0-4F61-AE2A-3E2B89244F52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86" authorId="1" shapeId="0" xr:uid="{D57EE7A1-0AE1-40D7-BBB4-A33C863566C9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87" authorId="1" shapeId="0" xr:uid="{3E1E9620-7C67-4D96-95B2-2EA21F1FFD9C}">
      <text>
        <r>
          <rPr>
            <sz val="10"/>
            <rFont val="Arial"/>
            <family val="2"/>
          </rPr>
          <t>Termine massimo generale PA digitale 2026. Fonte: PA digitale 2026 / D. 39/2025 e D. 29/2026. Avviso App IO maggio 2024 finanziato; usato il termine massimo generale vigente. Eventuale proroga individuale va verificata in area riservata. URL: https://www.padigitale2026.gov.it/novita/notizie/aggiornamento-modalita-di-richiesta-proroga-per-i-progetti-finanziati-con-avvisi-a-lump-sum</t>
        </r>
      </text>
    </comment>
    <comment ref="J87" authorId="1" shapeId="0" xr:uid="{15CA3C1E-7CC0-448E-80A9-EF55D3A0C0D5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87" authorId="1" shapeId="0" xr:uid="{DD27AF8F-396A-454F-84E1-20357FB6CC86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88" authorId="1" shapeId="0" xr:uid="{D99FD5D4-ABDA-4D23-B4C1-D755D8C2BD2E}">
      <text>
        <r>
          <rPr>
            <sz val="10"/>
            <rFont val="Arial"/>
            <family val="2"/>
          </rPr>
          <t>Termine finale previsto specifico. Fonte: Comune di Reggio Emilia - monitoraggio PNRR. CUP verificato anche nel decreto di finanziamento PA digitale 2026. URL: https://www.comune.reggioemilia.it/amministrazione-trasparente/controlli-e-rilievi-sullamministrazione/organi-di-revisione-amministrativa-e-contabile/collegio-dei-revisori-verbale-n-44-parere-sul-bilancio-di-previsione-2025-27-pdf.pdf</t>
        </r>
      </text>
    </comment>
    <comment ref="J88" authorId="1" shapeId="0" xr:uid="{644FA5A8-132C-439F-B910-0949A49FDC16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88" authorId="1" shapeId="0" xr:uid="{55D7E55E-63F7-47F9-894A-2E60930BBFD1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89" authorId="1" shapeId="0" xr:uid="{4131DF1D-6AB4-4AE4-879E-CDD8872AAC2E}">
      <text>
        <r>
          <rPr>
            <sz val="10"/>
            <rFont val="Arial"/>
            <family val="2"/>
          </rPr>
          <t>Termine finale previsto specifico. Fonte: Comune di Reggio Emilia - monitoraggio PNRR. Scadenza specifica pubblicata nel monitoraggio comunale. URL: https://www.comune.reggioemilia.it/amministrazione-trasparente/controlli-e-rilievi-sullamministrazione/organi-di-revisione-amministrativa-e-contabile/collegio-dei-revisori-verbale-n-44-parere-sul-bilancio-di-previsione-2025-27-pdf.pdf</t>
        </r>
      </text>
    </comment>
    <comment ref="J89" authorId="1" shapeId="0" xr:uid="{E34F7036-CA1F-436A-95A0-C6769E7BB1F3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89" authorId="1" shapeId="0" xr:uid="{DC6E302D-53E9-4923-9E6A-30B86DBCA049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90" authorId="1" shapeId="0" xr:uid="{AC442976-63D6-45C7-A793-B432DC5C2779}">
      <text>
        <r>
          <rPr>
            <sz val="10"/>
            <rFont val="Arial"/>
            <family val="2"/>
          </rPr>
          <t>Termine finale previsto specifico. Fonte: Comune di Reggio Emilia - monitoraggio PNRR. Scadenza specifica pubblicata nel monitoraggio comunale. URL: https://www.comune.reggioemilia.it/amministrazione-trasparente/controlli-e-rilievi-sullamministrazione/organi-di-revisione-amministrativa-e-contabile/collegio-dei-revisori-verbale-n-44-parere-sul-bilancio-di-previsione-2025-27-pdf.pdf</t>
        </r>
      </text>
    </comment>
    <comment ref="J90" authorId="1" shapeId="0" xr:uid="{46D11260-ABC1-4510-8B4C-1359C2492293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90" authorId="1" shapeId="0" xr:uid="{BE58DF28-468A-404E-82E9-C413D54DFE96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91" authorId="1" shapeId="0" xr:uid="{255DF1DD-042A-4554-90FB-49D9DB39D827}">
      <text>
        <r>
          <rPr>
            <sz val="10"/>
            <rFont val="Arial"/>
            <family val="2"/>
          </rPr>
          <t>Termine finale previsto specifico. Fonte: Comune di Reggio Emilia - monitoraggio PNRR. Scadenza specifica pubblicata nel monitoraggio comunale; coerente con il termine massimo generale PA digitale 2026 del 31/03/2026. URL: https://www.comune.reggioemilia.it/amministrazione-trasparente/controlli-e-rilievi-sullamministrazione/organi-di-revisione-amministrativa-e-contabile/collegio-dei-revisori-verbale-n-44-parere-sul-bilancio-di-previsione-2025-27-pdf.pdf</t>
        </r>
      </text>
    </comment>
    <comment ref="J91" authorId="1" shapeId="0" xr:uid="{E4D857F2-A3D7-4869-ADD4-C14BE798E6B7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91" authorId="1" shapeId="0" xr:uid="{AD9EE7F8-C918-461C-9F8F-B6984EEA764A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92" authorId="1" shapeId="0" xr:uid="{CCCB93DC-799A-483E-B103-113152C8BF6D}">
      <text>
        <r>
          <rPr>
            <sz val="10"/>
            <rFont val="Arial"/>
            <family val="2"/>
          </rPr>
          <t>Termine finale previsto specifico. Fonte: Comune di Reggio Emilia - monitoraggio PNRR. Misura non trattata come avviso lump sum DTD; usato il termine specifico del monitoraggio comunale. URL: https://www.comune.reggioemilia.it/amministrazione-trasparente/controlli-e-rilievi-sullamministrazione/organi-di-revisione-amministrativa-e-contabile/collegio-dei-revisori-verbale-n-44-parere-sul-bilancio-di-previsione-2025-27-pdf.pdf</t>
        </r>
      </text>
    </comment>
    <comment ref="J92" authorId="1" shapeId="0" xr:uid="{0F2064ED-8349-4BA0-9E11-68518E870A73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92" authorId="1" shapeId="0" xr:uid="{E6E5DC59-72B3-48F6-8D63-B0E75360ED07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93" authorId="1" shapeId="0" xr:uid="{256CA1DD-EBD5-4809-B06C-81DB126341A6}">
      <text>
        <r>
          <rPr>
            <sz val="10"/>
            <rFont val="Arial"/>
            <family val="2"/>
          </rPr>
          <t>Termine finale previsto specifico. Fonte: Comune di Reggio Emilia - monitoraggio PNRR. Scadenza specifica pubblicata nel monitoraggio comunale. URL: https://www.comune.reggioemilia.it/amministrazione-trasparente/controlli-e-rilievi-sullamministrazione/organi-di-revisione-amministrativa-e-contabile/collegio-dei-revisori-verbale-n-44-parere-sul-bilancio-di-previsione-2025-27-pdf.pdf</t>
        </r>
      </text>
    </comment>
    <comment ref="J93" authorId="1" shapeId="0" xr:uid="{7B0CD4BF-8A4D-4608-BE80-95E1E37E670A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93" authorId="1" shapeId="0" xr:uid="{10E1E8F9-4013-4A4E-8BFC-D7696A9E26A2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94" authorId="1" shapeId="0" xr:uid="{F7ADA30C-8BEB-4CBB-9BFE-77D49A6FE4F4}">
      <text>
        <r>
          <rPr>
            <sz val="10"/>
            <rFont val="Arial"/>
            <family val="2"/>
          </rPr>
          <t>Termine finale previsto specifico. Fonte: Comune di Reggio Emilia - monitoraggio PNRR. Scadenza specifica pubblicata nel monitoraggio comunale. URL: https://www.comune.reggioemilia.it/amministrazione-trasparente/controlli-e-rilievi-sullamministrazione/organi-di-revisione-amministrativa-e-contabile/collegio-dei-revisori-verbale-n-44-parere-sul-bilancio-di-previsione-2025-27-pdf.pdf</t>
        </r>
      </text>
    </comment>
    <comment ref="J94" authorId="1" shapeId="0" xr:uid="{E15CC997-FD3B-421E-9100-25849F716EE6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94" authorId="1" shapeId="0" xr:uid="{57FCD218-FCD8-46C8-9F65-B976363B54FF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95" authorId="1" shapeId="0" xr:uid="{3641B178-784E-4DB8-9CF7-12988B2FEC9C}">
      <text>
        <r>
          <rPr>
            <sz val="10"/>
            <rFont val="Arial"/>
            <family val="2"/>
          </rPr>
          <t>Termine finale previsto specifico. Fonte: Comune di Reggio Emilia - monitoraggio PNRR. Scadenza specifica pubblicata nel monitoraggio comunale. URL: https://www.comune.reggioemilia.it/amministrazione-trasparente/controlli-e-rilievi-sullamministrazione/organi-di-revisione-amministrativa-e-contabile/collegio-dei-revisori-verbale-n-44-parere-sul-bilancio-di-previsione-2025-27-pdf.pdf</t>
        </r>
      </text>
    </comment>
    <comment ref="J95" authorId="1" shapeId="0" xr:uid="{8D9A18F0-E2DA-4B43-ACE5-83F91C4E8E90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95" authorId="1" shapeId="0" xr:uid="{A3B97D61-174D-486F-940F-D28257EE1540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96" authorId="1" shapeId="0" xr:uid="{900E30E4-2ADB-4C62-8F76-C418471019E7}">
      <text>
        <r>
          <rPr>
            <sz val="10"/>
            <rFont val="Arial"/>
            <family val="2"/>
          </rPr>
          <t>Termine massimo generale PA digitale 2026. Fonte: PA digitale 2026 - FAQ ANNCSU / D. 39/2025. La FAQ ANNCSU conferma esplicitamente il termine massimo del 31/03/2026. URL: https://padigitale2026.gov.it/supporto/domande-frequenti/misure-e-avvisi/tempistiche-contrattuali-e-completamento-progetto</t>
        </r>
      </text>
    </comment>
    <comment ref="J96" authorId="1" shapeId="0" xr:uid="{4B27C61E-3CE4-4E48-B383-517B57487DCF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96" authorId="1" shapeId="0" xr:uid="{6865732E-721D-4DA5-A64F-56E2B132D1D4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97" authorId="1" shapeId="0" xr:uid="{0E024E48-15FB-45E6-8538-D2CB2C8E463D}">
      <text>
        <r>
          <rPr>
            <sz val="10"/>
            <rFont val="Arial"/>
            <family val="2"/>
          </rPr>
          <t>Termine finale previsto specifico. Fonte: Comune di Reggio Emilia - monitoraggio PNRR. Intervento Cybersecurity: termine specifico del monitoraggio comunale. URL: https://www.comune.reggioemilia.it/amministrazione-trasparente/controlli-e-rilievi-sullamministrazione/organi-di-revisione-amministrativa-e-contabile/collegio-dei-revisori-verbale-n-44-parere-sul-bilancio-di-previsione-2025-27-pdf.pdf</t>
        </r>
      </text>
    </comment>
    <comment ref="J97" authorId="1" shapeId="0" xr:uid="{4E6D7DE6-0996-4117-87B2-081117EF6571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97" authorId="1" shapeId="0" xr:uid="{4BA9B1B6-BA47-4BF9-BFFB-ED2AD9704130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98" authorId="1" shapeId="0" xr:uid="{40ADB870-FEBC-40CD-B575-024A796C208A}">
      <text>
        <r>
          <rPr>
            <sz val="10"/>
            <rFont val="Arial"/>
            <family val="2"/>
          </rPr>
          <t>Termine aggiornato del progetto. Fonte: Comune di Reggio Emilia / Regione Emilia-Romagna. La pagina comunale aggiornata al 16/04/2026 indica: il progetto si conclude il 30 aprile 2026. URL: https://www.comune.reggioemilia.it/argomenti/attuazione-misure-pnrr/missione-1-1/pnrr-m1c1-2013-i1-7-digitale-facile-in-emilia-romagna-centri-di-facilitazione-digitale</t>
        </r>
      </text>
    </comment>
    <comment ref="H99" authorId="1" shapeId="0" xr:uid="{41B934C4-1E69-4F1A-8C4D-DD3B4B02E8C7}">
      <text>
        <r>
          <rPr>
            <sz val="10"/>
            <rFont val="Arial"/>
            <family val="2"/>
          </rPr>
          <t>Termine finale previsto specifico. Fonte: Comune di Reggio Emilia - monitoraggio PNRR. Scadenza specifica pubblicata per il progetto SUAP &amp; SUE. URL: https://www.comune.reggioemilia.it/amministrazione-trasparente/controlli-e-rilievi-sullamministrazione/organi-di-revisione-amministrativa-e-contabile/collegio-dei-revisori-verbale-n-44-parere-sul-bilancio-di-previsione-2025-27-pdf.pdf</t>
        </r>
      </text>
    </comment>
    <comment ref="J99" authorId="1" shapeId="0" xr:uid="{C56480F7-937F-4EE8-8E79-10592410543B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99" authorId="1" shapeId="0" xr:uid="{CB84D6E0-237E-434D-94F8-A891374070BF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100" authorId="1" shapeId="0" xr:uid="{3A2E05A1-67D6-4F6A-B5BD-46310D1503D5}">
      <text>
        <r>
          <rPr>
            <sz val="10"/>
            <rFont val="Arial"/>
            <family val="2"/>
          </rPr>
          <t>Da verificare in area riservata. Fonte: PA digitale 2026 / Dipartimento Funzione Pubblica. Secondo avviso SUAP: il termine puntuale dipende dalla notifica/decreto associato alla candidatura. La data specifica del CUP non risulta esposta nei dati pubblici consultabili. URL: https://presidenza.governo.it/AmministrazioneTrasparente/Sovvenzioni/CriteriModalita/</t>
        </r>
      </text>
    </comment>
    <comment ref="J100" authorId="1" shapeId="0" xr:uid="{E0BD9C7A-1D7C-416F-A32D-0145C72FADAD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100" authorId="1" shapeId="0" xr:uid="{DE2E6335-0F26-4E4D-8CDC-16B02F2B5FA0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101" authorId="1" shapeId="0" xr:uid="{A66F6077-2B99-4F1B-B2C6-3630B3F4115A}">
      <text>
        <r>
          <rPr>
            <sz val="10"/>
            <rFont val="Arial"/>
            <family val="2"/>
          </rPr>
          <t>Da verificare in area riservata. Fonte: PA digitale 2026 / Dipartimento Funzione Pubblica. Secondo avviso SUAP Enti Terzi: il termine puntuale dipende dalla notifica/decreto associato alla candidatura. La data specifica del CUP non risulta esposta nei dati pubblici consultabili. URL: https://presidenza.governo.it/AmministrazioneTrasparente/Sovvenzioni/CriteriModalita/</t>
        </r>
      </text>
    </comment>
    <comment ref="J101" authorId="1" shapeId="0" xr:uid="{A778236F-8BC1-4F64-AA9F-C41D4F8B1B22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101" authorId="1" shapeId="0" xr:uid="{A392E736-D44F-4958-BBC9-7378DCB0A540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102" authorId="1" shapeId="0" xr:uid="{906F9B11-4C31-4807-B850-9EEEB554FEFD}">
      <text>
        <r>
          <rPr>
            <sz val="10"/>
            <rFont val="Arial"/>
            <family val="2"/>
          </rPr>
          <t>Termine calcolato da decreto. Fonte: Dipartimento Funzione Pubblica / PA digitale 2026. SUE: 120 giorni dalla pubblicazione del decreto di ammissione (14/11/2025). Data calcolata: 14/03/2026; verificare eventuale diversa data di notifica registrata in area riservata. URL: https://presidenza.governo.it/AmministrazioneTrasparente/Sovvenzioni/CriteriModalita/</t>
        </r>
      </text>
    </comment>
    <comment ref="J102" authorId="1" shapeId="0" xr:uid="{C7A95B62-5FF4-4F5D-9828-845E0111A74D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102" authorId="1" shapeId="0" xr:uid="{FDF66CFE-4B8F-4042-A4BB-5C09AA644817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103" authorId="1" shapeId="0" xr:uid="{872B912A-529A-42FF-8153-27E2C8D5C0E6}">
      <text>
        <r>
          <rPr>
            <sz val="10"/>
            <rFont val="Arial"/>
            <family val="2"/>
          </rPr>
          <t>Termine calcolato da decreto. Fonte: Dipartimento Funzione Pubblica / PA digitale 2026. Interoperabilita sistemi gestionali RU: 90 giorni dal decreto definitivo del 12/03/2026. Data calcolata: 10/06/2026; verificare data di notifica in area riservata se rilevante. URL: https://presidenza.governo.it/AmministrazioneTrasparente/Sovvenzioni/CriteriModalita/</t>
        </r>
      </text>
    </comment>
    <comment ref="J103" authorId="1" shapeId="0" xr:uid="{790E5580-F490-4DB7-9135-D7FAF7654E43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K103" authorId="1" shapeId="0" xr:uid="{95C45D87-AF6A-492F-A2FB-2D0E036A85B9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digitale senza sede fisica: localizzazione convenzionale presso CUED. URL: https://www.comune.reggioemilia.it/</t>
        </r>
      </text>
    </comment>
    <comment ref="H104" authorId="1" shapeId="0" xr:uid="{65A5F880-A326-4C7E-B283-6AF4A6F07A9B}">
      <text>
        <r>
          <rPr>
            <sz val="10"/>
            <rFont val="Arial"/>
            <family val="2"/>
          </rPr>
          <t>Termine calcolato da decreto. Fonte: Dipartimento Funzione Pubblica / PA digitale 2026. SUAP &amp; SUE 2025: 270 giorni dalla pubblicazione del decreto di finanziamento del 18/04/2025. Data calcolata: 13/01/2026; verificare eventuale diversa data di notifica in area riservata. URL: https://presidenza.governo.it/AmministrazioneTrasparente/Sovvenzioni/CriteriModalita/</t>
        </r>
      </text>
    </comment>
    <comment ref="J104" authorId="1" shapeId="0" xr:uid="{B8DF4AAD-CAD3-4D9E-B51A-EAC4A482F319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SUAP/SUE digitale: sede convenzionale CUED, non sede fisica del progetto. URL: https://www.comune.reggioemilia.it/</t>
        </r>
      </text>
    </comment>
    <comment ref="K104" authorId="1" shapeId="0" xr:uid="{3E7516BC-83E6-467E-82CC-9E1690902B26}">
      <text>
        <r>
          <rPr>
            <sz val="10"/>
            <rFont val="Arial"/>
            <family val="2"/>
          </rPr>
          <t>Geolocalizzazione integrata. Tipo: Convenzionale. Affidabilita: CONVENZIONALE. Fonte/criterio: Sede CUED/Sistemi Informativi, Piazza Pietro Scapinelli 2. Progetto SUAP/SUE digitale: sede convenzionale CUED, non sede fisica del progetto. URL: https://www.comune.reggioemilia.it/</t>
        </r>
      </text>
    </comment>
    <comment ref="J107" authorId="1" shapeId="0" xr:uid="{0DA2A9FE-18A7-40D7-984A-786547806030}">
      <text>
        <r>
          <rPr>
            <sz val="10"/>
            <rFont val="Arial"/>
            <family val="2"/>
          </rPr>
          <t>Geolocalizzazione integrata. Tipo: Puntuale. Affidabilita: ALTA. Fonte/criterio: SETA, Via del Chionso 50. Coordinate della sede/impianto SETA. URL: https://www.reteimprese.it/</t>
        </r>
      </text>
    </comment>
    <comment ref="K107" authorId="1" shapeId="0" xr:uid="{BDEE2EC9-1765-4865-B124-58CB1AB61C64}">
      <text>
        <r>
          <rPr>
            <sz val="10"/>
            <rFont val="Arial"/>
            <family val="2"/>
          </rPr>
          <t>Geolocalizzazione integrata. Tipo: Puntuale. Affidabilita: ALTA. Fonte/criterio: SETA, Via del Chionso 50. Coordinate della sede/impianto SETA. URL: https://www.reteimprese.it/</t>
        </r>
      </text>
    </comment>
    <comment ref="J110" authorId="1" shapeId="0" xr:uid="{8389A122-72DE-4207-997F-8D7003126AB5}">
      <text>
        <r>
          <rPr>
            <sz val="10"/>
            <rFont val="Arial"/>
            <family val="2"/>
          </rPr>
          <t>Geolocalizzazione integrata. Tipo: Rappresentativo area. Affidabilita: ALTA. Fonte/criterio: Piazzale Europa. Punto rappresentativo del Piazzale Europa. URL: https://www.distancesfrom.com/it/Piazzale-Europa-latitude-longitude-Piazzale-Europa-latitude-Piazzale-Europa-longitude/LatLongHistory/14034637.aspx</t>
        </r>
      </text>
    </comment>
    <comment ref="K110" authorId="1" shapeId="0" xr:uid="{F219B9E5-93A3-4F10-B9C2-CB180D4DB745}">
      <text>
        <r>
          <rPr>
            <sz val="10"/>
            <rFont val="Arial"/>
            <family val="2"/>
          </rPr>
          <t>Geolocalizzazione integrata. Tipo: Rappresentativo area. Affidabilita: ALTA. Fonte/criterio: Piazzale Europa. Punto rappresentativo del Piazzale Europa. URL: https://www.distancesfrom.com/it/Piazzale-Europa-latitude-longitude-Piazzale-Europa-latitude-Piazzale-Europa-longitude/LatLongHistory/14034637.aspx</t>
        </r>
      </text>
    </comment>
    <comment ref="J121" authorId="1" shapeId="0" xr:uid="{EE1E18D4-63FD-4167-96B0-FACFCC6B130B}">
      <text>
        <r>
          <rPr>
            <sz val="10"/>
            <rFont val="Arial"/>
            <family val="2"/>
          </rPr>
          <t>Geolocalizzazione integrata. Tipo: Propagata per CUP. Affidabilita: MEDIA. Fonte/criterio: Stesso CUP della riga 50; progetto multisito. Attivita corrente collegata allo stesso CUP; marker rappresentativo Via Brigata Reggio 30. URL: https://www.comune.reggioemilia.it/amministrazione/documenti-e-dati/avvisi-e-bandi/bandi-di-gara-e-contratti-profilo-di-committente/stazione-appaltante-comune-di-reggio-emilia/lavori/pnrr-m5c2-i1-2-realizzazione-di-abitazioni-immobile-sito-in-via-mazzini-6-e-via-brigata-reggio-cig</t>
        </r>
      </text>
    </comment>
    <comment ref="K121" authorId="1" shapeId="0" xr:uid="{DEAAF2ED-9D64-4F68-A002-7FFA7F208BFD}">
      <text>
        <r>
          <rPr>
            <sz val="10"/>
            <rFont val="Arial"/>
            <family val="2"/>
          </rPr>
          <t>Geolocalizzazione integrata. Tipo: Propagata per CUP. Affidabilita: MEDIA. Fonte/criterio: Stesso CUP della riga 50; progetto multisito. Attivita corrente collegata allo stesso CUP; marker rappresentativo Via Brigata Reggio 30. URL: https://www.comune.reggioemilia.it/amministrazione/documenti-e-dati/avvisi-e-bandi/bandi-di-gara-e-contratti-profilo-di-committente/stazione-appaltante-comune-di-reggio-emilia/lavori/pnrr-m5c2-i1-2-realizzazione-di-abitazioni-immobile-sito-in-via-mazzini-6-e-via-brigata-reggio-cig</t>
        </r>
      </text>
    </comment>
    <comment ref="J126" authorId="1" shapeId="0" xr:uid="{F101D794-2D88-4338-A50E-828AD6873E91}">
      <text>
        <r>
          <rPr>
            <sz val="10"/>
            <rFont val="Arial"/>
            <family val="2"/>
          </rPr>
          <t>Geolocalizzazione integrata. Tipo: Propagata per CUP. Affidabilita: BASSA. Fonte/criterio: Stesso CUP della riga 52, immobile Via Dalmazia 85. Attivita corrente collegata al progetto fisico della riga 52. URL: https://www.blia.it/in/96982-46178</t>
        </r>
      </text>
    </comment>
    <comment ref="K126" authorId="1" shapeId="0" xr:uid="{90DF2F15-DEAC-4066-8A10-41052B2B86D2}">
      <text>
        <r>
          <rPr>
            <sz val="10"/>
            <rFont val="Arial"/>
            <family val="2"/>
          </rPr>
          <t>Geolocalizzazione integrata. Tipo: Propagata per CUP. Affidabilita: BASSA. Fonte/criterio: Stesso CUP della riga 52, immobile Via Dalmazia 85. Attivita corrente collegata al progetto fisico della riga 52. URL: https://www.blia.it/in/96982-46178</t>
        </r>
      </text>
    </comment>
    <comment ref="J127" authorId="1" shapeId="0" xr:uid="{CF46A43D-9439-4DB3-B113-291B9A510061}">
      <text>
        <r>
          <rPr>
            <sz val="10"/>
            <rFont val="Arial"/>
            <family val="2"/>
          </rPr>
          <t>Geolocalizzazione integrata. Tipo: Propagata per CUP. Affidabilita: MEDIA. Fonte/criterio: Stesso CUP della riga 53, Via Kennedy 15-17. Attivita corrente collegata al progetto fisico della riga 53. URL: https://www.italiamappe.it/stradario/reggio-nell%27emilia/via-john-fitzgerald-kennedy/</t>
        </r>
      </text>
    </comment>
    <comment ref="K127" authorId="1" shapeId="0" xr:uid="{717549B7-C54B-44A2-BAD3-340E79E311E8}">
      <text>
        <r>
          <rPr>
            <sz val="10"/>
            <rFont val="Arial"/>
            <family val="2"/>
          </rPr>
          <t>Geolocalizzazione integrata. Tipo: Propagata per CUP. Affidabilita: MEDIA. Fonte/criterio: Stesso CUP della riga 53, Via Kennedy 15-17. Attivita corrente collegata al progetto fisico della riga 53. URL: https://www.italiamappe.it/stradario/reggio-nell%27emilia/via-john-fitzgerald-kennedy/</t>
        </r>
      </text>
    </comment>
  </commentList>
</comments>
</file>

<file path=xl/sharedStrings.xml><?xml version="1.0" encoding="utf-8"?>
<sst xmlns="http://schemas.openxmlformats.org/spreadsheetml/2006/main" count="1288" uniqueCount="526">
  <si>
    <t>NOME PROGETTO</t>
  </si>
  <si>
    <t>CUP</t>
  </si>
  <si>
    <t>RUP</t>
  </si>
  <si>
    <t>LOCALIZZAZIONE</t>
  </si>
  <si>
    <t>IMPORTO TOTALE</t>
  </si>
  <si>
    <t>FONDI COMUNALI</t>
  </si>
  <si>
    <t>IMPORTO AMMESSO</t>
  </si>
  <si>
    <t>FOI</t>
  </si>
  <si>
    <t>IMPEGNATO REGIS
(cig, imprevisti
 E incentivi)</t>
  </si>
  <si>
    <t>ECONOMIE</t>
  </si>
  <si>
    <t>SPESA TOTALE</t>
  </si>
  <si>
    <t>SPESA AMMESSA</t>
  </si>
  <si>
    <t>MINISTERO DELL’INTERNO – RIGENERAZIONE URBANA</t>
  </si>
  <si>
    <t xml:space="preserve"> PNRR-M5C2-I2.1 Sviluppo del PRU Gardenia – ristrutturazione ex palestra in via Galliano</t>
  </si>
  <si>
    <t>J87H21003240001</t>
  </si>
  <si>
    <t>SALVATORE FALBO</t>
  </si>
  <si>
    <t>VIA GALLIANO</t>
  </si>
  <si>
    <t>PNRR-M5C2-I2.1 Riqualificazione e rigenerazione urbana del quadrante nord-est del centro storico di Reggio – riqualificazione dei Chiostri di San Domenico, secondo stralcio</t>
  </si>
  <si>
    <t>J84E21002050001</t>
  </si>
  <si>
    <t>MATTEO TANZI</t>
  </si>
  <si>
    <t>VIA ALIGHIERI</t>
  </si>
  <si>
    <t>PNRR-M5C2-I2.1 Quartiere Regina Pacis/Orologio - Riqualificazione delle attrezzature collettive di quartiere – intervento straordinario sul Teatro dell’Orologio</t>
  </si>
  <si>
    <t>J84E21002030001</t>
  </si>
  <si>
    <t>GIORGIA LOMBARDINI</t>
  </si>
  <si>
    <t>VIA MASSENET</t>
  </si>
  <si>
    <t>PNRR-M5C2-I2.1 Riqualificazione e rigenerazione urbana del quadrante nord-est del centro storico di Reggio – riqualificazione dei Chiostri di San Domenico, primo stralcio</t>
  </si>
  <si>
    <t>J84E21002040001</t>
  </si>
  <si>
    <t xml:space="preserve">PNRR-M5C2I2.1 QUARTIERE REGINA PACIS/OROLOGIO - RIQUALIFICAZIONE DEL PARCO DEL GELSO* </t>
  </si>
  <si>
    <t>J87H21003250005</t>
  </si>
  <si>
    <t>SAVERIO CIOCE</t>
  </si>
  <si>
    <t xml:space="preserve">varie vie
L’area di progetto situata tra via Belgio e via Danimarca, occupa una piccola parte, lungo il confine nord, del Parco Nilde Iotti, </t>
  </si>
  <si>
    <t>PNRR-M5C2-I2.1 Riqualificazione e rigenerazione urbana del quadrante nord-est del centro storico di Reggio – riqualificazione del Parco del Popolo</t>
  </si>
  <si>
    <t>J87H21003200005</t>
  </si>
  <si>
    <t>DANIELA PIVETTI</t>
  </si>
  <si>
    <t>VIA ISONZO</t>
  </si>
  <si>
    <t xml:space="preserve">PNRR-M5C2-I2.1 Riqualificazione e rigenerazione urbana del quadrante nord-est del centro storico di Reggio – riqualificazione di piazza del Popol Giost  </t>
  </si>
  <si>
    <t>J87H21003260001</t>
  </si>
  <si>
    <t>URSULA MONTANARI</t>
  </si>
  <si>
    <t>VIA ROMA</t>
  </si>
  <si>
    <t>PNRR-M5C2-I2.1 Riqualificazione ex Polveriera quartiere Mirabello – realizzazione del Bicilab, progetto connesso al PUMS</t>
  </si>
  <si>
    <t>J84E21002020005</t>
  </si>
  <si>
    <t>PAOLA VENTURELLI</t>
  </si>
  <si>
    <t>PIAZZALE REVERBERI</t>
  </si>
  <si>
    <t xml:space="preserve">PNRR-M5C2-I2.1 Progetto di rigenerazione urbana del quartiere Gattaglio - nuova passerella ciclopedonale sul torrente Crostolo  </t>
  </si>
  <si>
    <t>J81B21004260005</t>
  </si>
  <si>
    <t>CLAUDIA DI SANO</t>
  </si>
  <si>
    <t>varie vie
Passerella di collegamento tra il quartiere del Gattaglio ad est del torrente Crostolo con il quartiere Regina Pacis ad ovest</t>
  </si>
  <si>
    <t>PNRR-M5C2-I2.1 Riqualificazione e sicurezza della via Emilia a Pieve Modolena e Cella – completamento della ciclovia 1 ovest 
MISSIONE M5</t>
  </si>
  <si>
    <t>J81B21004040005</t>
  </si>
  <si>
    <t>varie vie
 via Emilia all’interno delle frazioni di Cella (pista ciclopedonale lungo il lato nord della via Emilia nel tratto compreso tra via Spartaco e via Guardanavona), Cadè  (Villa Cadè, adiacente al lato nord della via Emilia compreso tra via Quercioli e via Palladio) e Gaida (adiacente al lato nord della via Emilia tra via Casel di Ferro e la fine del centro abitato)</t>
  </si>
  <si>
    <t>PNRR-M5C2-I2.1 Riqualificazione urbana della Zona Annonaria e pista ciclabile su via Don Giovanni Verità</t>
  </si>
  <si>
    <t>J81B21004250001</t>
  </si>
  <si>
    <t>VIA DON GIOVANNI VERITA'</t>
  </si>
  <si>
    <t>PNRR-M5C2-I2.1 Riqualificazione e rigenerazione urbana del quadrante nord-est del centro storico di Reggio – strada della cultura</t>
  </si>
  <si>
    <t>J89J21004570001</t>
  </si>
  <si>
    <t>varie vie
 quadrante nord-est del centro storico che collega il piazzale Marconi, porta di accesso alla città dalla stazione ferroviaria, alla piazza della Vittoria</t>
  </si>
  <si>
    <t>PNRR-M5C2-I2.1 Riqualificazione e rigenerazione urbana del quadrante nord-est del centro storico di Reggio – riqualificazione degli orti di Santa Chiara</t>
  </si>
  <si>
    <t>J83D21000920001</t>
  </si>
  <si>
    <t>rinuncia</t>
  </si>
  <si>
    <t>PNRR-M5C2-I2.1 Barriere antirumore in via Inghilterra</t>
  </si>
  <si>
    <t>J81B21004060001</t>
  </si>
  <si>
    <t>VIA INGHILTERRA</t>
  </si>
  <si>
    <t>TOTALE:</t>
  </si>
  <si>
    <t>MINISTERO DELL’INTERNO – RIGENERAZIONE URBANA – FINANZIAMENTO STATALE SCADENZA 12/27</t>
  </si>
  <si>
    <t>PNRR-M5C2-I2.1 Piano di Riqualificazione Urbana quartiere popolare Compagnoni – riqualificazione ex scuole Villaggio Catellani per nuovo centro sociale/sede AUSER</t>
  </si>
  <si>
    <t>J84E21002010005</t>
  </si>
  <si>
    <t>CRISTINA BONDAVALLI</t>
  </si>
  <si>
    <t>VIA COMPAGNONI</t>
  </si>
  <si>
    <t>fine posticipata al 12/2027</t>
  </si>
  <si>
    <t>PNRR-M5C2-I2.1 Quartiere Ospizio/San Lazzaro – nuovo sottopasso ciclopedonale nel parco Campo di Marte</t>
  </si>
  <si>
    <t>J81B21004290005</t>
  </si>
  <si>
    <t>GIULIA NEVIANI</t>
  </si>
  <si>
    <t>varie vie
Superamento dell’asse ferroviario regionale Reggio Sassuolo in corrispondenza dei due parchi urbani denominati “Campo di Marte1” e “Campo di Marte 2” attualmente separati n modo invalicabile dalla linea ferroviaria</t>
  </si>
  <si>
    <t>cig ancora da prendere</t>
  </si>
  <si>
    <t>PNRR-M5C2-I2.1 Riqualificazione e rigenerazione urbana del quadrante nord-est del centro storico di Reggio – sottopasso ciclopedonale alla ferrovia storica Milano-Bologna</t>
  </si>
  <si>
    <t>J81B21004050005</t>
  </si>
  <si>
    <t>varie vie
 realizzazione del nuovo sottopasso ciclopedonale tra via Roma e via Regina Margherita.</t>
  </si>
  <si>
    <t>manca variante</t>
  </si>
  <si>
    <t>PNRR-M5C2-I2.1 Riqualificazione e ricucitura urbana dei quartieri Ospizio/San Lazzaro – nuovo cavalcaferrovia ciclopedonale tra il Campus San Lazzaro e il nuovo parco dello sport</t>
  </si>
  <si>
    <t>J81B21004030005</t>
  </si>
  <si>
    <t>varie vie
connessione tra il Campus San Lazzaro e la Via Emilia a sud e il sistema dei parchi e dell’Arena del Campovolo a nord, L’opera si colloca a circa 150 metri a ovest della stazione di Reggio Emilia San Lazzaro, in continuità con uno degli assi nord-sud strutturanti l’area storica di San Lazzaro (compreso tra il padiglione De Sanctis e il padiglione Besta) con ingresso diretto e riconoscibile dalla Via Emilia.</t>
  </si>
  <si>
    <t>MINISTERO DELL’ISTRUZIONE</t>
  </si>
  <si>
    <t>X</t>
  </si>
  <si>
    <t>PNRR-M2C3-I1.1 SM Aosta: sostituzione edilizia, nuovo edificio previa demolizione dell’edificio attuale</t>
  </si>
  <si>
    <t>J81B22000860006</t>
  </si>
  <si>
    <t>ERMES TORREGGIANI</t>
  </si>
  <si>
    <t>VIA CECATI N. 12</t>
  </si>
  <si>
    <t>PNRR-M4C1–I1.2 SP Ghiarda: Nuova mensa nell’area cortiliva della scuola</t>
  </si>
  <si>
    <t>J85E22000480001</t>
  </si>
  <si>
    <t>GABRIELLA OLIVIERO</t>
  </si>
  <si>
    <t xml:space="preserve">VIA GHIARDA 28 </t>
  </si>
  <si>
    <t>PNRR-M4C1–I1.2 SP Boiardo Bagno: nuova mensa con ampliamento edificio esistente</t>
  </si>
  <si>
    <t>J84E22000210006</t>
  </si>
  <si>
    <t>VIA LASAGNI 5/A</t>
  </si>
  <si>
    <t xml:space="preserve">PNRR-M4C1–I1.2 SP Valeriani Cadè: Nuova mensa mediante riconversione degli spazi inutilizzati al piano primo del corpo di fabbrica in ampliamento costruito nel 2010  </t>
  </si>
  <si>
    <t>J83D22000210006</t>
  </si>
  <si>
    <t>VIA GIORDANO BRUNO 29</t>
  </si>
  <si>
    <t xml:space="preserve"> PNRR-M4C1–I1.2 SP Dallaglio: Nuova mensa nell’area cortiliva della scuola</t>
  </si>
  <si>
    <t>J85E22000470001</t>
  </si>
  <si>
    <t>GIOVANNI GHERPELLI</t>
  </si>
  <si>
    <t>VIA TERRACHINI 20</t>
  </si>
  <si>
    <t xml:space="preserve"> PNRR-M4C1–I1.2 SP Marconi: Nuova mensa nell’area cortiliva della scuola</t>
  </si>
  <si>
    <t>J81B22002190001</t>
  </si>
  <si>
    <t>VIA EMILIA OSPIZIO 78</t>
  </si>
  <si>
    <t>PNRR-M4C1-I1.1 NIDO SOLE: riqualificazione messa in sicurezza</t>
  </si>
  <si>
    <t>J88I22000420001</t>
  </si>
  <si>
    <t>VIA CARAVAGGIO, 2</t>
  </si>
  <si>
    <t xml:space="preserve"> PNRR-M4C1-I1.1 NIDO RODARi: riqualificazione messa in sicurezza</t>
  </si>
  <si>
    <t>J88I22000290006</t>
  </si>
  <si>
    <t>VIA CECATI, 3/2</t>
  </si>
  <si>
    <t>PNRR-M4C1-I1.1 NIDO PETER PAN: riqualificazione messa in sicurezza</t>
  </si>
  <si>
    <t>J88I22000300006</t>
  </si>
  <si>
    <t>VIA PRADARENA, 14</t>
  </si>
  <si>
    <t xml:space="preserve"> PNRR-M4C1-I1.1 NIDO G. CERVI: riqualificazione messa in sicurezza</t>
  </si>
  <si>
    <t>J88I22000310006</t>
  </si>
  <si>
    <t>VIA RENATO FUCINI, 1</t>
  </si>
  <si>
    <t xml:space="preserve">PNRR-M4C1-I1.1 POLO PER L’INFANZIA (NIDO RIVIERI/SI CLAUDEL): riqualificazione messa in sicurezza </t>
  </si>
  <si>
    <t>J88I22000340006</t>
  </si>
  <si>
    <t>VIA HONORÉ DE BALZAC, 2</t>
  </si>
  <si>
    <t>PNRR-M4C1-I1.1 POLO PER L’INFANZIA (NIDO IOTTI/SI AGORA’): riqualificazione messa in sicurezza</t>
  </si>
  <si>
    <t>J88I22000330006</t>
  </si>
  <si>
    <t xml:space="preserve">VIA FRATELLI BANDIERA,12C </t>
  </si>
  <si>
    <t>PNRR-M4C1-I1.1 Polo dell'Infanzia al parco Ottavi</t>
  </si>
  <si>
    <t>J81B22002240006</t>
  </si>
  <si>
    <t xml:space="preserve">PARCO OTTAVI </t>
  </si>
  <si>
    <t>DIPARTIMENTO PER LO SPORT</t>
  </si>
  <si>
    <t xml:space="preserve"> PNRR-M5C2-I3.1 Nuova cittadella dello Sport di Masone</t>
  </si>
  <si>
    <t>J85B22000350005</t>
  </si>
  <si>
    <t>VIA MANZOTTI 1</t>
  </si>
  <si>
    <t xml:space="preserve"> PNRR-M5C2-I3.1 Riqualificazione stadio Mirabello</t>
  </si>
  <si>
    <t>J82H22000530005</t>
  </si>
  <si>
    <t xml:space="preserve">VIA MATTEOTTI 11 </t>
  </si>
  <si>
    <t>MINISTERO DELLE INFRASTRUTTURE E DEI TRASPORTI</t>
  </si>
  <si>
    <t>PNRR-M2C2-I4.1 Completamento ciclovia 1 e 2 S. Lazzaro-centro città</t>
  </si>
  <si>
    <t>J89J22002390001</t>
  </si>
  <si>
    <t>SILVIA BIZZARRI</t>
  </si>
  <si>
    <t xml:space="preserve">ZONA EST- S.LAZZARO- CENTRO 
 È stata data continuità alla ciclovia 1 est, con la creazione di una ciclabile in sede propria, ed è stata ridisegnata la ciclovia 2 in Via Cialdini. </t>
  </si>
  <si>
    <t>PNRR-M2C2-I4.1 Realizzazione superciclabile stazione Mediopadana – confine comunale</t>
  </si>
  <si>
    <t>J89J22002400001</t>
  </si>
  <si>
    <t>ZONA NORD : da via Filangeri a via Bovio in fregio a via Gramsci;da via don Leuratti a via Raffaello;ratto ciclabile in prossimità del collegamento alla ciclabile del PuA6 (che collega Mancasale da est a ovest all’altezza dello stabilimento Ognibene);
i tratti ciclabili delle vie Majorana, Raffaello, Bovio e di Vittorio.</t>
  </si>
  <si>
    <t xml:space="preserve">PNRR-M2C2-I4.1 Superciclabile sud - realizzazione di nuova rete ciclabile tra Rivalta e Mancasale - 1° Stralcio  </t>
  </si>
  <si>
    <t>J81B21000270001</t>
  </si>
  <si>
    <t>varie vie: unire più velocemente le ampie zone residenziali a sud, da Via Conforti a Rivalta, con le aree produttive di Mancasale a nord e Via Filangieri.</t>
  </si>
  <si>
    <t>MINISTERO DEL LAVORO E DELLE POLITICHE SOCIALI</t>
  </si>
  <si>
    <t>PNRR-M5C2-I1.1.2 Riconversione e riqualificazione di residenze e adeguamento tecnologia domotica innovativa per spazi abitativi per anziani non autosufficienti (soggetto esecutore ACER)</t>
  </si>
  <si>
    <t>J84H22001000001</t>
  </si>
  <si>
    <t>ANDREA ILLARI</t>
  </si>
  <si>
    <t xml:space="preserve">COMUNE DI REGGIO EMILIA </t>
  </si>
  <si>
    <t>PNRR-M5C2-I1.2 Realizzazione di abitazioni per gruppi di persone con disabilità e predisposizione di strumenti e tecnologie di domotica e interazione a distanza presso l’immobile sito in via Mazzini, 6 piano sesto (Progetto Comune di Reggio)</t>
  </si>
  <si>
    <t>J84F22000430001</t>
  </si>
  <si>
    <t>COMUNE DI REGGIO EMILIA - riqualificazione di due abitazioni situate in via Mazzini (di proprietà di Asp Reggio Emilia Città delle persone) e in via Brigata Reggio (di proprietà di Farmacie comunali riunite</t>
  </si>
  <si>
    <t>PNRR-M5C2-I1.2 Realizzazione di abitazioni per gruppi di persone con disabilità e predisposizione di strumenti e tecnologie di domotica e interazione a distanza presso l’immobile di Quattro Castella (Montecavolo) (Progetto Comune di Quattro Castella) (trasferimento a Unione Colline Matildiche)</t>
  </si>
  <si>
    <t>J54F22000990001</t>
  </si>
  <si>
    <t>GERMANA CORRADINI</t>
  </si>
  <si>
    <t xml:space="preserve">VIA P.NENNI - MONTECAVOLO - QUATTRO CASTELLA (RE) </t>
  </si>
  <si>
    <t xml:space="preserve">PNRR-M5C2-I1.3 Riconversione di strutture di accoglienza in mini alloggi con spazi e servizi comuni presso l’immobile sito in via Dalmazia n. 85  </t>
  </si>
  <si>
    <t>J84H22000690001</t>
  </si>
  <si>
    <t>COMUNE DI REGGIO EMILIA - ATS REGGIO EMILIA via Dalmazia n. 85</t>
  </si>
  <si>
    <t>PNRR-M5C2-I1.3 Realizzazione di centri servizi per persone di marginalità anche estrema e senza dimora presso l’immobile sito in via Kennedy n.15-17</t>
  </si>
  <si>
    <t>J84H22000710001</t>
  </si>
  <si>
    <t>COMUNE DI REGGIO EMILIA - ATS REGGIO EMILIA  o in via Kennedy n.15-17</t>
  </si>
  <si>
    <t>MINISTERO DELLA CULTURA</t>
  </si>
  <si>
    <t>PNRR-M1C3-I1.2 Rimozione delle barriere fisiche e cognitive – Palazzo dei Musei</t>
  </si>
  <si>
    <t>J87B22000800006</t>
  </si>
  <si>
    <t>FRANCESCA RUOZI</t>
  </si>
  <si>
    <t xml:space="preserve">VIA LAZZARO SPALLANZANI 1 </t>
  </si>
  <si>
    <t>PNRR-M1C3-I1.2 Rimozione delle barriere fisiche e cognitive – Palazzo dei Musei (spesa corrente)</t>
  </si>
  <si>
    <t>CENTRO REGIONALE PER IL LAVORO</t>
  </si>
  <si>
    <t>PNRR-M5C1-I1.1 – Riqualificazione Torre B del Giglio – Realizzazione del CPI</t>
  </si>
  <si>
    <t>J88I22000400002</t>
  </si>
  <si>
    <t xml:space="preserve">VIA PIER GIACINTO TERRACHINI, 18 </t>
  </si>
  <si>
    <t>MINISTERO DELL’AMBIENTE</t>
  </si>
  <si>
    <t xml:space="preserve"> PNRR-M2C4-I3.4 Siti orfani da riqualificare - Area Ex MacelloTecton</t>
  </si>
  <si>
    <t>J88G22000110006</t>
  </si>
  <si>
    <t>DAVIDE GIOVANNINI</t>
  </si>
  <si>
    <t>PNRR-M2C4-I3.4 Siti orfani da riqualificare – Area Produttiva Polifunzionale – GOLD</t>
  </si>
  <si>
    <t>J88G22000120006</t>
  </si>
  <si>
    <t xml:space="preserve">“Area ex GOLD” in via Werter Asseverati, </t>
  </si>
  <si>
    <t>MEDIE OPERE – MINISTERO DELL’INTERNO</t>
  </si>
  <si>
    <t>PNRR-M2C4-I2.2 Ristrutturazione con miglioramento sismico e adeguamento normativa antincendio nido ALLENDE
MISSIONE 2</t>
  </si>
  <si>
    <t>J82G20000110004</t>
  </si>
  <si>
    <t>VIA GATTALUPA</t>
  </si>
  <si>
    <t>chiedi a Claudia
(non è segnato nel file)</t>
  </si>
  <si>
    <t>PNRR-M2C4-I2.2 Ristrutturazione con miglioramento sismico e adeguamento normativa antincendio nido BELLELLI
MISSIONE 2</t>
  </si>
  <si>
    <t>J82G19000310004</t>
  </si>
  <si>
    <t xml:space="preserve">VIA G. PUCCINI, 28 </t>
  </si>
  <si>
    <t>PNRR-M2C4-I2.2 Ristrutturazione e adeguamento antincendio nido scuola O. Sarzi</t>
  </si>
  <si>
    <t>J82G20000100004</t>
  </si>
  <si>
    <t>ELENA MELLONI Seguito da francesco paone Rup dovrebbe diventare falbo</t>
  </si>
  <si>
    <t>PNRR-M2C4-I2.2 Intervento di consolidamento Ponte via Pinotti su tangenziale</t>
  </si>
  <si>
    <t>J89J20000040004</t>
  </si>
  <si>
    <t>MATTEO CHIARI</t>
  </si>
  <si>
    <t>MONTANARI</t>
  </si>
  <si>
    <t xml:space="preserve">VIA PINOTTI </t>
  </si>
  <si>
    <t>PNRR-M2C4-I2.2 Interventi di manutenzione straordinaria programmata ponti “Area Nord” - 1° lotto</t>
  </si>
  <si>
    <t>J87H20000280004</t>
  </si>
  <si>
    <t>varie vie: sistemazione di ponti “Centrale” e “Nord” presenti su V.le dei Trattati di Roma.</t>
  </si>
  <si>
    <t>PNRR-M2C4-I2.2 Interventi di manutenzione straordinaria programmata ponti “Area Nord” - 2° lotto</t>
  </si>
  <si>
    <t>J87H20000260004</t>
  </si>
  <si>
    <t>PNRR-M2C4-I2.2 Interventi di manutenzione straordinaria programmata ponti “Area Nord” - 3° lotto</t>
  </si>
  <si>
    <t>J87H20000240004</t>
  </si>
  <si>
    <t>MARCO LEURINI</t>
  </si>
  <si>
    <t>PNRR-M2C4-I2.2 Barriere Ponte via Asseverati</t>
  </si>
  <si>
    <t>J87H20002170001</t>
  </si>
  <si>
    <t xml:space="preserve">VIA ASSEVERATI </t>
  </si>
  <si>
    <t xml:space="preserve"> PNRR-M2C4-I2.2 Barriere Ponte via Marx</t>
  </si>
  <si>
    <t>J87H20002180001</t>
  </si>
  <si>
    <t>VIA MARX</t>
  </si>
  <si>
    <t>PICCOLE OPERE – MINISTERO DELL’INTERNO</t>
  </si>
  <si>
    <t>PNRR-M2C4-I2.2 Lavori di messa in sicurezza della pavimentazione Scuola San Giovanni Bosco (2020) 
MISSIONE 2</t>
  </si>
  <si>
    <t>J89E20000130005</t>
  </si>
  <si>
    <t xml:space="preserve">VIA BISMANTOVA </t>
  </si>
  <si>
    <t>PNRR-M2C4-I2.2 Lavori di efficientamento energetico per l'illuminazione pubblica (2021)</t>
  </si>
  <si>
    <t>J89J21004270001</t>
  </si>
  <si>
    <t>GIUSEPPE BELTRAMI</t>
  </si>
  <si>
    <t>varie vie</t>
  </si>
  <si>
    <t>PNRR-M2C4-I2.2 Interventi su impianti di pubblica illuminazione ex Enel Sole: acquisizione e efficientamento energetico (2021)</t>
  </si>
  <si>
    <t>J89J21006970001</t>
  </si>
  <si>
    <t>PNRR-M2C4-I2.2 Riqualificazione ed efficientamento degli impianti di illuminazione di attraversamenti pedonali e contestuale riqualificazione ai fini della sicurezza stradale e mobilità sostenibile</t>
  </si>
  <si>
    <t>J86I22000110002</t>
  </si>
  <si>
    <t>varie vie: L'intervento interesserà in tutto 15 attraversamenti pedonali distribuiti lungo arterie di grande traffico della città:N° 5 in viale Timavo, N° 3 in viale dei Mille, N° 3 in viale Piave, N° 2 in via Vico, N° 1 in via Newton, N° 1 in via G. Bruno.</t>
  </si>
  <si>
    <t>PNRR-M2C4-I2.2 Centro internazionale Loris Malaguzzi - Interventi di efficientamento energetico (2023)</t>
  </si>
  <si>
    <t>J84D22002650007</t>
  </si>
  <si>
    <t>ELENA MELLONI</t>
  </si>
  <si>
    <t xml:space="preserve">VIALE B. RAMAZZINI, 72/A </t>
  </si>
  <si>
    <t>PNRR-M2C4-I2.2 Centro internazionale Loris Malaguzzi - Interventi di efficientamento energetico (2024)</t>
  </si>
  <si>
    <t>J84H22001800006</t>
  </si>
  <si>
    <t xml:space="preserve">VIALE B. RAMAZZINI, 72/A, </t>
  </si>
  <si>
    <t>DIPARTIMENTO PER LA TRASFORMAZIONE DIGITALE come da nota trasmessa a ottobre 2025</t>
  </si>
  <si>
    <t xml:space="preserve"> 1.4.3 ADOZIONE APP IO</t>
  </si>
  <si>
    <t>J81F22002400006</t>
  </si>
  <si>
    <t>ANDREA BERTANI</t>
  </si>
  <si>
    <t xml:space="preserve"> 1.4.3 ADOZIONE APP IO (maggio 2024)</t>
  </si>
  <si>
    <t>J81F25000020006</t>
  </si>
  <si>
    <t>1.4.3 ADOZIONE PIATTAFORMA pagoPA</t>
  </si>
  <si>
    <t>J81F22002730006</t>
  </si>
  <si>
    <t xml:space="preserve"> 1.4.3 ADOZIONE PIATTAFORMA pagoPA (maggio 2023)</t>
  </si>
  <si>
    <t>J81F23000670006</t>
  </si>
  <si>
    <t xml:space="preserve"> 1.4.5 PIATTAFORMA NOTIFICHE DIGITALI – COMUNI</t>
  </si>
  <si>
    <t>J81F22003920006</t>
  </si>
  <si>
    <t xml:space="preserve"> 1.4.1 ESPERIENZA DEL CITTADINO NEI SERVIZI PUBBLICI – COMUNI</t>
  </si>
  <si>
    <t>J81F22004370006</t>
  </si>
  <si>
    <t>1.4.2 MIGLIORAMENTO DELL'ACCESSIBILITÀ DEI SERVIZI PUBBLICI GENERALI</t>
  </si>
  <si>
    <t>J54F24000100006</t>
  </si>
  <si>
    <t>1.4.4 ESTENSIONE DELL'UTILIZZO DELL'ANAGRAFE NAZIONALE DIGITALE (ANPR) - ADESIONE ALLO STATO CIVILE DIGITALE (ANSC)</t>
  </si>
  <si>
    <t>J51F24005880006</t>
  </si>
  <si>
    <t xml:space="preserve"> 1.2 “ABILITAZIONE AL CLOUD PER LE PA LOCALI” COMUNI</t>
  </si>
  <si>
    <t>J81C22001570006</t>
  </si>
  <si>
    <t xml:space="preserve"> 1.3.1 PIATTAFORMA DIGITALE NAZIONALE DATI COMUNI</t>
  </si>
  <si>
    <t>J51F22004260006</t>
  </si>
  <si>
    <t>J41J25001340006</t>
  </si>
  <si>
    <t xml:space="preserve"> 1.5 “CYBERSECURITY”</t>
  </si>
  <si>
    <t>J81B24000320001</t>
  </si>
  <si>
    <t>1.7.2 DIGITALE FACILE IN EMILIA ROMAGNA_CENTRI DI FACILITAZIONE DIGITALE</t>
  </si>
  <si>
    <t>J89E23000040006</t>
  </si>
  <si>
    <t>NICOLETTA LEVI</t>
  </si>
  <si>
    <t>2.2.3 DIGITALIZZAZIONE DELLE PROCEDURE (SUAP &amp; SUE)</t>
  </si>
  <si>
    <t>J81F24000420006</t>
  </si>
  <si>
    <t>2.2.3 DIGITALIZZAZIONE DELLE PROCEDURE SUAP 2 AVVISO</t>
  </si>
  <si>
    <t xml:space="preserve">2.2.3. DIGITALIZZAZIONE PROCEDURE SUAP ENTI TERZI 2 AVVISO </t>
  </si>
  <si>
    <t>2.2.3. DIGITALIZZAZIONE DELLE PROCEDURE SUE</t>
  </si>
  <si>
    <t>2.2.3 DIGITALIZZAZIONE DELLE PROCEDURE (SUAP &amp; SUE) 2025</t>
  </si>
  <si>
    <t>J81F25000400006</t>
  </si>
  <si>
    <t>Rinnovo parco autobus regionale per il trasposto pubblico con veicoli a combustibili</t>
  </si>
  <si>
    <t>H80J22000000001</t>
  </si>
  <si>
    <t>GANDOLFI</t>
  </si>
  <si>
    <t>PAOLO GANDOLFI</t>
  </si>
  <si>
    <t xml:space="preserve">SETA a Reggio Emilia: Via del Chionso 50, 42122 Reggio Emilia </t>
  </si>
  <si>
    <t>PNRR-M5C2-I2.3 PINQUA - Economia, lavoro e innovazione</t>
  </si>
  <si>
    <t>J87H21000950005</t>
  </si>
  <si>
    <t>LEPORI</t>
  </si>
  <si>
    <t>DANIELA LEPORI</t>
  </si>
  <si>
    <t xml:space="preserve">PIAZZALE EUROPA A REGGIO EMILIA, SNC (ANCORA SENZA NUMERO CIVICO) </t>
  </si>
  <si>
    <t>SOSTEGNO ALLE PERSONE  VULNERABILI E PREVENZIONE DELL'ISTITUZIONALIZZAZIONE DEGLI ANZIANI NON AUTOSUFFICIENTI </t>
  </si>
  <si>
    <t>M5C2 – I1.1</t>
  </si>
  <si>
    <t>PNRR-M5C2-I1.1.1 Sostegno alle capacità genitoriali e prevenzione della vulnerabilità delle famiglie e dei bambini (PIPPI) (attività di PARTE CORRENTE)</t>
  </si>
  <si>
    <t>J84H22000170001</t>
  </si>
  <si>
    <t>ANTONIO COSTANTINI</t>
  </si>
  <si>
    <t>PNRR-M5C2-I1.1.2 Assistenza domiciliare integrata (quota sociale) in alloggi per anziani non autosufficienti (attività di PARTE CORRENTE)</t>
  </si>
  <si>
    <t xml:space="preserve">PNRR-M5C2-I1.1.3 Rafforzamento dei servizi sociali domiciliari per garantire la dimissione anticipata assistita e prevenire l’ospedalizzazione (attività di PARTE CORRENTE) </t>
  </si>
  <si>
    <t>J89G22000030001</t>
  </si>
  <si>
    <t>PNRR-M5C2-I1.1.4 Rafforzamento dei servizi sociali e prevenzione del fenomeno del burn out tra gli operatori (attività di PARTE CORRENTE)</t>
  </si>
  <si>
    <t>J84I22000010001</t>
  </si>
  <si>
    <t>PERCORSI DI AUTONOMIA PER PERSONE CON DISABILITÀ</t>
  </si>
  <si>
    <t>M5C2 – I1.2</t>
  </si>
  <si>
    <t>PNRR-M5C2-I1.2 Percorsi di autonomia per persone con disabilità (Progetto Comune di Reggio) - (attività di PARTE CORRENTE - progetti individualizzati, formazione/lavoro)</t>
  </si>
  <si>
    <t>PNRR-M5C2-I1.2 Percorsi di autonomia per persone con disabilità (Progetto Comune di Quattro Castella) (attività di PARTE CORRENTE - progetti individualizzati, formazione/lavoro) (trasferimento a Unione Colline Matildiche)</t>
  </si>
  <si>
    <t>HOUSING TEMPORANEO E STAZIONI DI POSTA PER LE PERSONE SENZA DIMORA</t>
  </si>
  <si>
    <t>M5C2 – I1.3</t>
  </si>
  <si>
    <t>PNRR-M5C2-I1.3 Povertà estrema – Housing first (attività di PARTE CORRENTE)</t>
  </si>
  <si>
    <t>PNRR-M5C2-I1.3 Povertà estrema – Stazioni di Posta/Centri servizi (attività di PARTE CORRENTE)</t>
  </si>
  <si>
    <t>2.3.2 INTEROPERABILITA’ SISTEMI GESTIONALI RISORSE UMANE</t>
  </si>
  <si>
    <t>J41F25000630006</t>
  </si>
  <si>
    <t xml:space="preserve">J81F26000290006 </t>
  </si>
  <si>
    <t>J81F26000280006</t>
  </si>
  <si>
    <t>J81C26000030006</t>
  </si>
  <si>
    <t>1.3.1  PIATTAFORMA DIGITALE NAZIONALE DATI ANNCSU – COMUNI</t>
  </si>
  <si>
    <t>SENZA SEDE FISICA - idealmente sede CUED in P.zza Scapinelli 1</t>
  </si>
  <si>
    <t>SENZA SEDE FISICA - idealmente sede CUED in P.zza Scapinelli 2</t>
  </si>
  <si>
    <t>SENZA SEDE FISICA - idealmente sede CUED in P.zza Scapinelli 3</t>
  </si>
  <si>
    <t>SENZA SEDE FISICA - idealmente sede CUED in P.zza Scapinelli 4</t>
  </si>
  <si>
    <t>SENZA SEDE FISICA - idealmente sede CUED in P.zza Scapinelli 5</t>
  </si>
  <si>
    <t>SENZA SEDE FISICA - idealmente sede CUED in P.zza Scapinelli 6</t>
  </si>
  <si>
    <t>SENZA SEDE FISICA - idealmente sede CUED in P.zza Scapinelli 7</t>
  </si>
  <si>
    <t>SENZA SEDE FISICA - idealmente sede CUED in P.zza Scapinelli 8</t>
  </si>
  <si>
    <t>SENZA SEDE FISICA - idealmente sede CUED in P.zza Scapinelli 9</t>
  </si>
  <si>
    <t>SENZA SEDE FISICA - idealmente sede CUED in P.zza Scapinelli 10</t>
  </si>
  <si>
    <t>SENZA SEDE FISICA - idealmente sede CUED in P.zza Scapinelli 11</t>
  </si>
  <si>
    <t>SENZA SEDE FISICA - idealmente sede CUED in P.zza Scapinelli 12</t>
  </si>
  <si>
    <t>SENZA SEDE FISICA - idealmente sede CUED in P.zza Scapinelli 14</t>
  </si>
  <si>
    <t>SENZA SEDE FISICA - idealmente sede CUED in P.zza Scapinelli 15</t>
  </si>
  <si>
    <t>SENZA SEDE FISICA - idealmente sede CUED in P.zza Scapinelli 16</t>
  </si>
  <si>
    <t>SENZA SEDE FISICA - idealmente sede CUED in P.zza Scapinelli 17</t>
  </si>
  <si>
    <t>SENZA SEDE FISICA - idealmente sede CUED in P.zza Scapinelli 18</t>
  </si>
  <si>
    <t>SEDI VARIE DEI CENTRI DI FACILITAZIONE DIGITALE</t>
  </si>
  <si>
    <t>CATEGORIA</t>
  </si>
  <si>
    <t>Rigenerazione Urbana</t>
  </si>
  <si>
    <t>Verde Pubblico</t>
  </si>
  <si>
    <t>Ciclovie</t>
  </si>
  <si>
    <t>Lavori Pubblici</t>
  </si>
  <si>
    <t>Edilizia Scolastica</t>
  </si>
  <si>
    <t>Impianti Sportivi</t>
  </si>
  <si>
    <t>Servizi Sociali</t>
  </si>
  <si>
    <t>Mobilità/Infrastrutture</t>
  </si>
  <si>
    <t>Servizi Digitali</t>
  </si>
  <si>
    <t>LATITUDINE</t>
  </si>
  <si>
    <t>LONGITUDINE</t>
  </si>
  <si>
    <t>AVANZAMENTO LAVORI</t>
  </si>
  <si>
    <t>N°</t>
  </si>
  <si>
    <t>SCADENZA</t>
  </si>
  <si>
    <t>DIPARTIMENTO PER LA MOBILITÀ SOSTENIBILE</t>
  </si>
  <si>
    <t>DIPARTIMENTO PER LE OPERE PUBBLICHE E LE POLITICHE ABITATIVE</t>
  </si>
  <si>
    <t>TOTALE COMPLESSIVO:</t>
  </si>
  <si>
    <t>SOSTEGNO ALLE PERSONE  VULNERABILI E PREVENZIONE DELL'ISTITUZIONALIZZAZIONE DEGLI ANZIANI NON AUTOSUFFICIENTI  M5C2 – I1.1</t>
  </si>
  <si>
    <t>PERCORSI DI AUTONOMIA PER PERSONE CON DISABILITÀ M5C2 – I1.2</t>
  </si>
  <si>
    <t>HOUSING TEMPORANEO E STAZIONI DI POSTA PER LE PERSONE SENZA DIMORA M5C2 – I1.3</t>
  </si>
  <si>
    <t>PNRR-M5C2-I2.1 Riqualificazione e sicurezza della via Emilia a Pieve Modolena e Cella – completamento della ciclovia 1 ovest</t>
  </si>
  <si>
    <t>PNRR-M2C4-I2.2 Ristrutturazione con miglioramento sismico e adeguamento normativa antincendio nido ALLENDE</t>
  </si>
  <si>
    <t>PNRR-M2C4-I2.2 Ristrutturazione con miglioramento sismico e adeguamento normativa antincendio nido BELLELLI</t>
  </si>
  <si>
    <t>PNRR-M2C4-I2.2 Lavori di messa in sicurezza della pavimentazione Scuola San Giovanni Bosco (2020)</t>
  </si>
  <si>
    <t>Riga</t>
  </si>
  <si>
    <t>Progetto</t>
  </si>
  <si>
    <t>Localizzazione originale</t>
  </si>
  <si>
    <t>Latitudine</t>
  </si>
  <si>
    <t>Longitudine</t>
  </si>
  <si>
    <t>Tipo geolocalizzazione</t>
  </si>
  <si>
    <t>Affidabilita</t>
  </si>
  <si>
    <t>Fonte / criterio</t>
  </si>
  <si>
    <t>URL fonte</t>
  </si>
  <si>
    <t>Note</t>
  </si>
  <si>
    <t>Esito</t>
  </si>
  <si>
    <t>Puntuale/area parco</t>
  </si>
  <si>
    <t>ALTA</t>
  </si>
  <si>
    <t>Centro rappresentativo Parco del Gelso; localizzazione coerente con area di progetto</t>
  </si>
  <si>
    <t>https://www.zampaconnect.com/area-cani/reggio-emilia/parco_del_gelso_42124_reggio_nellemilia_re</t>
  </si>
  <si>
    <t>Punto nel Parco del Gelso; intervento su area verde, non singolo edificio.</t>
  </si>
  <si>
    <t>COORDINATE INSERITE</t>
  </si>
  <si>
    <t>Puntuale</t>
  </si>
  <si>
    <t>Piazzale Reverberi / ex Polveriera</t>
  </si>
  <si>
    <t>https://www.openstreetmap.org/search?query=Piazzale%20Reverberi%20Reggio%20Emilia</t>
  </si>
  <si>
    <t>Punto rappresentativo del Piazzale Reverberi/Bicilab.</t>
  </si>
  <si>
    <t>Ponte/passarella del Gattaglio sul Crostolo</t>
  </si>
  <si>
    <t>https://mapcarta.com/search?q=Ponte%20del%20Gattaglio%20Reggio%20Emilia</t>
  </si>
  <si>
    <t>Coordinate del ponte/passerella in area Gattaglio.</t>
  </si>
  <si>
    <t>Rappresentativo lineare</t>
  </si>
  <si>
    <t>BASSA</t>
  </si>
  <si>
    <t>Centroide rappresentativo del tratto Cella-Cade-Gaida ricavato dalle localita attraversate</t>
  </si>
  <si>
    <t>https://mapcarta.com/18708310</t>
  </si>
  <si>
    <t>Intervento lineare esteso: usare in futuro una geometria LineString; il punto serve solo come marker CUP.</t>
  </si>
  <si>
    <t>Rappresentativo su via</t>
  </si>
  <si>
    <t>MEDIA</t>
  </si>
  <si>
    <t>Centro della Via Don Giovanni Verita</t>
  </si>
  <si>
    <t>https://distanzechilometriche.net/mappa/reggio-nell-emilia/via-don-giovanni-verita/</t>
  </si>
  <si>
    <t>Intervento lungo la via; coordinata rappresentativa, non civico puntuale.</t>
  </si>
  <si>
    <t>Punto medio approssimato tra Stazione FS/Piazzale Marconi e Piazza della Vittoria</t>
  </si>
  <si>
    <t>https://distanzechilometriche.net/mappa/reggio-nell-emilia/piazza-della-vittoria/</t>
  </si>
  <si>
    <t>Strada della Cultura: marker al centro del corridoio; preferibile una LineString nella mappa finale.</t>
  </si>
  <si>
    <t>Puntuale/area</t>
  </si>
  <si>
    <t>Area Orti di Santa Chiara tra Teatro Cavallerizza e Spazio Gerra</t>
  </si>
  <si>
    <t>https://www.comune.reggioemilia.it/argomenti/attuazione-misure-pnrr/missione-5/pnrr-m5c2-i2-1-riqualificazione-e-rigenerazione-urbana-del-quadrante-nord-est-del-centro-storico-di-reggio-2013-riqualificazione-degli-orti-di-santa-chiara-1</t>
  </si>
  <si>
    <t>Punto centrale dell area descritta dal Comune tra Cavallerizza e Spazio Gerra.</t>
  </si>
  <si>
    <t>Centro della Via Inghilterra</t>
  </si>
  <si>
    <t>https://www.italiamappe.it/stradario/reggio-nell%27emilia/</t>
  </si>
  <si>
    <t>Barriere antirumore lungo la via: punto rappresentativo.</t>
  </si>
  <si>
    <t>Centro della Via Compagnoni</t>
  </si>
  <si>
    <t>Riqualificazione ex scuole nel quartiere Compagnoni; punto su via.</t>
  </si>
  <si>
    <t>Area Campo di Marte tra Via Cellini e linea Reggio-Sassuolo</t>
  </si>
  <si>
    <t>https://www.comune.reggioemilia.it/argomenti/attuazione-misure-pnrr</t>
  </si>
  <si>
    <t>Punto rappresentativo dei parchi Campo di Marte 1 e 2 presso il sottopasso.</t>
  </si>
  <si>
    <t>Rappresentativo opera</t>
  </si>
  <si>
    <t>Asse Via Roma - Viale Regina Margherita in corrispondenza della ferrovia</t>
  </si>
  <si>
    <t>https://www.comune.reggioemilia.it/argomenti/attuazione-misure-pnrr/progetti-stralciati-dal-pnrr/pnrr-m5c2-i2-1-riqualificazione-e-rigenerazione-urbana-del-quadrante-nord-est-del-centro-storico-di-reggio-2013-sottopasso-ciclopedonale-alla-ferrovia-storica-milano-bologna</t>
  </si>
  <si>
    <t>Punto stimato sull asse del sottopasso; posizione rappresentativa dell opera.</t>
  </si>
  <si>
    <t>Circa 150 m a ovest della stazione Reggio Emilia San Lazzaro, come da descrizione progetto</t>
  </si>
  <si>
    <t>https://www.wikidata.org/wiki/Special:Search?search=Reggio%20Emilia%20San%20Lazzaro%20station</t>
  </si>
  <si>
    <t>Derivato dalla posizione della stazione e dalla distanza indicata nel progetto.</t>
  </si>
  <si>
    <t>Via Lasagni, localita Bagno</t>
  </si>
  <si>
    <t>Punto rappresentativo della via; verificare il civico 5/A in caso di uso tecnico di precisione.</t>
  </si>
  <si>
    <t>Nido Sole, Via Caravaggio 2</t>
  </si>
  <si>
    <t>https://www.comune.reggioemilia.it/argomenti/istituzione-scuole-e-nidi-dinfanzia</t>
  </si>
  <si>
    <t>Coordinate edificio/area scolastica.</t>
  </si>
  <si>
    <t>Puntuale stimato</t>
  </si>
  <si>
    <t>Nido Peter Pan, Via Pradarena 14; posizione ricostruita da POI e viabilita circostante</t>
  </si>
  <si>
    <t>https://www.comune.reggioemilia.it/argomenti/istituzione-scuole-e-nidi-dinfanzia/nidi-dinfanzia/nidi-comunali-e-convenzionati/peterpan</t>
  </si>
  <si>
    <t>Indirizzo ufficiale; coordinata ricostruita sull edificio/area del nido.</t>
  </si>
  <si>
    <t>Nido Genoeffa Cervi, Via Renato Fucini 1</t>
  </si>
  <si>
    <t>POI del nido in prossimita del riferimento cartografico Casino Bacchi.</t>
  </si>
  <si>
    <t>Polo Rivieri/Claudel, Via H. de Balzac 2</t>
  </si>
  <si>
    <t>https://www.comune.reggioemilia.it/argomenti/istituzione-scuole-e-nidi-dinfanzia/nidi-scuole/rivieri</t>
  </si>
  <si>
    <t>Indirizzo ufficiale; coordinata rappresentativa della via.</t>
  </si>
  <si>
    <t>Nido Nilde Iotti / Polo Agora, Via Fratelli Bandiera 12C</t>
  </si>
  <si>
    <t>https://censimentoarchitetturecontemporanee.cultura.gov.it/scheda-opera?id=4862</t>
  </si>
  <si>
    <t>Coordinate pubblicate nel Censimento delle architetture contemporanee del Ministero della Cultura.</t>
  </si>
  <si>
    <t>Parco Nilde Iotti (gia Parco Ottavi)</t>
  </si>
  <si>
    <t>https://www.comune.reggioemilia.it/argomenti/mobilita/progetti/reggio-emilia-citta-dei-sentieri/i-sentieri/anello-alex-langer/documenti-allegati/punti-di-interesse.pdf</t>
  </si>
  <si>
    <t>Punto rappresentativo dell area del Parco Ottavi/Nilde Iotti.</t>
  </si>
  <si>
    <t>Via Manzotti, Masone</t>
  </si>
  <si>
    <t>Punto rappresentativo della via per la nuova Cittadella dello Sport.</t>
  </si>
  <si>
    <t>Stadio Mirabello</t>
  </si>
  <si>
    <t>https://mapcarta.com/search?q=Stadio%20Mirabello%20Reggio%20Emilia</t>
  </si>
  <si>
    <t>Centro dello stadio; il civico pubblico ricorrente e Via Giacomo Matteotti 2.</t>
  </si>
  <si>
    <t>Punto medio rappresentativo del collegamento San Lazzaro-centro</t>
  </si>
  <si>
    <t>https://www.comune.reggioemilia.it/argomenti/mobilita</t>
  </si>
  <si>
    <t>Intervento ciclabile lineare: usare una LineString quando disponibile.</t>
  </si>
  <si>
    <t>Tratto nord presso Via Filangieri/Gramsci</t>
  </si>
  <si>
    <t>Superciclabile estesa: marker rappresentativo del corridoio nord.</t>
  </si>
  <si>
    <t>Punto rappresentativo del corridoio Rivalta-Mancasale</t>
  </si>
  <si>
    <t>Superciclabile molto estesa: marker di sintesi; preferibile geometria lineare.</t>
  </si>
  <si>
    <t>Rappresentativo multi-sito</t>
  </si>
  <si>
    <t>Uno dei due immobili del CUP: Via Brigata Reggio 30; l altro e Via Mazzini 6</t>
  </si>
  <si>
    <t>https://www.comune.reggioemilia.it/amministrazione/documenti-e-dati/avvisi-e-bandi/bandi-di-gara-e-contratti-profilo-di-committente/stazione-appaltante-comune-di-reggio-emilia/lavori/pnrr-m5c2-i1-2-realizzazione-di-abitazioni-immobile-sito-in-via-mazzini-6-e-via-brigata-reggio-cig</t>
  </si>
  <si>
    <t>CUP multisito. Il marker rappresenta Via Brigata Reggio 30; mantenere nota dei due immobili.</t>
  </si>
  <si>
    <t>Via Dalmazia; riferimento cartografico prossimo al civico 85</t>
  </si>
  <si>
    <t>https://www.blia.it/in/96982-46178</t>
  </si>
  <si>
    <t>Il riferimento disponibile e per Via Dalmazia 101; il civico 85 e prossimo ma va verificato per uso di precisione.</t>
  </si>
  <si>
    <t>Via John Fitzgerald Kennedy, area civici 15-17</t>
  </si>
  <si>
    <t>https://www.italiamappe.it/stradario/reggio-nell%27emilia/via-john-fitzgerald-kennedy/</t>
  </si>
  <si>
    <t>Coordinate rappresentative del tratto di Via Kennedy; indirizzo 15-17 confermato da fonti pubbliche.</t>
  </si>
  <si>
    <t>Palazzo dei Musei, Via Lazzaro Spallanzani 1</t>
  </si>
  <si>
    <t>https://cultura.gov.it/luogo/palazzo-dei-musei-reggio-emilia</t>
  </si>
  <si>
    <t>Coordinate del Palazzo dei Musei/edificio.</t>
  </si>
  <si>
    <t>Propagata per CUP</t>
  </si>
  <si>
    <t>Stesso CUP e stesso sito fisico della riga 56</t>
  </si>
  <si>
    <t>Riga di spesa corrente collegata allo stesso CUP e al medesimo edificio.</t>
  </si>
  <si>
    <t>Via Werter Asseverati / area ex GOLD</t>
  </si>
  <si>
    <t>Punto rappresentativo lungo Via Asseverati; area produttiva est.</t>
  </si>
  <si>
    <t>Nido Allende, Via Gattalupa 5</t>
  </si>
  <si>
    <t>https://www.provincia.re.it/</t>
  </si>
  <si>
    <t>Indirizzo ufficiale; punto ricostruito dai civici adiacenti della stessa via.</t>
  </si>
  <si>
    <t>Nido Bellelli, Via G. Puccini 28</t>
  </si>
  <si>
    <t>https://www.reteimprese.it/</t>
  </si>
  <si>
    <t>Coordinata associata al civico 28.</t>
  </si>
  <si>
    <t>Nido scuola O. Sarzi, Via Guasco 10</t>
  </si>
  <si>
    <t>https://www.blia.it/</t>
  </si>
  <si>
    <t>Coordinate del civico/edificio.</t>
  </si>
  <si>
    <t>Via Pinotti</t>
  </si>
  <si>
    <t>Punto rappresentativo del ponte su Via Pinotti/tangenziale.</t>
  </si>
  <si>
    <t>Viale dei Trattati di Roma, area nord</t>
  </si>
  <si>
    <t>https://www.mappepercorsi.it/genova-montecavolo-pianificatore-di-itinerario-google-google-map/</t>
  </si>
  <si>
    <t>Lotto ponti Area Nord: punto rappresentativo sul viale; non distingue il singolo manufatto.</t>
  </si>
  <si>
    <t>Via Werter Asseverati</t>
  </si>
  <si>
    <t>Punto rappresentativo del ponte/barriere lungo Via Asseverati.</t>
  </si>
  <si>
    <t>Via Karl Marx, riferimento cartografico da documentazione territoriale</t>
  </si>
  <si>
    <t>https://www.slideshare.net/slideshow/cre02-presentazione-sia-rp-rev-b/40194553</t>
  </si>
  <si>
    <t>Coordinate WGS84 pubblicate per punti di monitoraggio su Via Karl Marx; usate come riferimento dell opera.</t>
  </si>
  <si>
    <t>Scuola San Giovanni Bosco, Via Bismantova 23</t>
  </si>
  <si>
    <t>https://www.comune.reggioemilia.it/</t>
  </si>
  <si>
    <t>Coordinate del civico/edificio scolastico.</t>
  </si>
  <si>
    <t>Centro Internazionale Loris Malaguzzi, Viale Ramazzini 72/A</t>
  </si>
  <si>
    <t>https://censimentoarchitetturecontemporanee.cultura.gov.it/</t>
  </si>
  <si>
    <t>Coordinate pubblicate in banca dati culturale; indirizzo confermato dal Comune.</t>
  </si>
  <si>
    <t>Stesso edificio della riga 80.</t>
  </si>
  <si>
    <t>Convenzionale</t>
  </si>
  <si>
    <t>CONVENZIONALE</t>
  </si>
  <si>
    <t>Sede CUED/Sistemi Informativi, Piazza Pietro Scapinelli 2</t>
  </si>
  <si>
    <t>Progetto digitale senza sede fisica: localizzazione convenzionale presso CUED.</t>
  </si>
  <si>
    <t>Progetto SUAP/SUE digitale: sede convenzionale CUED, non sede fisica del progetto.</t>
  </si>
  <si>
    <t>SETA, Via del Chionso 50</t>
  </si>
  <si>
    <t>Coordinate della sede/impianto SETA.</t>
  </si>
  <si>
    <t>Rappresentativo area</t>
  </si>
  <si>
    <t>Piazzale Europa</t>
  </si>
  <si>
    <t>https://www.distancesfrom.com/it/Piazzale-Europa-latitude-longitude-Piazzale-Europa-latitude-Piazzale-Europa-longitude/LatLongHistory/14034637.aspx</t>
  </si>
  <si>
    <t>Punto rappresentativo del Piazzale Europa.</t>
  </si>
  <si>
    <t>Stesso CUP della riga 50; progetto multisito</t>
  </si>
  <si>
    <t>Attivita corrente collegata allo stesso CUP; marker rappresentativo Via Brigata Reggio 30.</t>
  </si>
  <si>
    <t>Stesso CUP della riga 52, immobile Via Dalmazia 85</t>
  </si>
  <si>
    <t>Attivita corrente collegata al progetto fisico della riga 52.</t>
  </si>
  <si>
    <t>Stesso CUP della riga 53, Via Kennedy 15-17</t>
  </si>
  <si>
    <t>Attivita corrente collegata al progetto fisico della riga 53.</t>
  </si>
  <si>
    <t>NON GEOLOCALIZZATO</t>
  </si>
  <si>
    <t>N/A</t>
  </si>
  <si>
    <t>Nessuna coordinata inserita per evitare rappresentazioni fuorvianti</t>
  </si>
  <si>
    <t>Intervento su residenze/alloggi diffusi; nessun singolo indirizzo univoco nella tabella.</t>
  </si>
  <si>
    <t>LASCIATO VUOTO</t>
  </si>
  <si>
    <t>FUORI PERIMETRO</t>
  </si>
  <si>
    <t>Immobile a Montecavolo, Comune di Quattro Castella: fuori dal perimetro comunale di Reggio Emilia.</t>
  </si>
  <si>
    <t>INTERVENTO DIFFUSO</t>
  </si>
  <si>
    <t>Illuminazione pubblica su varie vie: un singolo marker sarebbe fuorviante.</t>
  </si>
  <si>
    <t>varie vie: I lavori saranno esegui* nel Comune di Reggio Emilia nelle seguen* vie:
Via Foscato Via Asiago Via Tassoni Via Terrachini Via Malaguzzi Via Podgora
Via Debeli Via Vigarani Via AicardiVia Borciani Via Livi Via Caselli Via Corti</t>
  </si>
  <si>
    <t>Impianti di illuminazione su molte vie: preferibile layer multi-point/lineare.</t>
  </si>
  <si>
    <t>15 attraversamenti pedonali distribuiti su piu arterie: preferibile layer multi-point.</t>
  </si>
  <si>
    <t>INTERVENTO MULTI-SEDE</t>
  </si>
  <si>
    <t>Centri di facilitazione digitale su sedi diverse; non esiste una coordinata unica.</t>
  </si>
  <si>
    <t>SERVIZIO SENZA SEDE UNICA</t>
  </si>
  <si>
    <t>Attivita di parte corrente PIPPI; non associabile correttamente a un singolo punto fisico.</t>
  </si>
  <si>
    <t>SERVIZIO/ALLOGGI DIFFUSI</t>
  </si>
  <si>
    <t>Parte corrente collegata a intervento su alloggi diffusi; nessun punto unico.</t>
  </si>
  <si>
    <t>Servizio sociale domiciliare; non associabile correttamente a un singolo punto fisico.</t>
  </si>
  <si>
    <t>Attivita organizzativa/formativa contro burn-out; nessuna sede fisica di progetto univoca.</t>
  </si>
  <si>
    <t>Progetto del Comune di Quattro Castella / Montecavolo, fuori dal perimetro comunale di Reggio Emilia.</t>
  </si>
  <si>
    <t>NON PROGETTO</t>
  </si>
  <si>
    <t>Riga di intestazione/classificazione</t>
  </si>
  <si>
    <t>Riga intestazione misura, non progetto CUP</t>
  </si>
  <si>
    <t>LEGENDA</t>
  </si>
  <si>
    <t>POI/edificio/area con coordinata direttamente disponibile o fortemente corroborata.</t>
  </si>
  <si>
    <t>Indirizzo certo ma coordinata rappresentativa di via/area o ricostruita da riferimenti cartografici vicini.</t>
  </si>
  <si>
    <t>Punto rappresentativo/centroide per opera lineare, diffusa o con precisione limitata.</t>
  </si>
  <si>
    <t>Progetto senza sede fisica posizionato per esigenze di visualizzazione presso la sede CUED; non indica luogo di esecuzione.</t>
  </si>
  <si>
    <t>COMUNE DI REGGIO EMILIA [UBICAZIONE PLURIMA – NON PUNTUALE, COORDINATE NON APPLICABILI]</t>
  </si>
  <si>
    <t>varie vie [UBICAZIONE PLURIMA – NON PUNTUALE, COORDINATE NON APPLICABILI]</t>
  </si>
  <si>
    <t>varie vie: I lavori saranno esegui* nel Comune di Reggio Emilia nelle seguen* vie:
Via Foscato Via Asiago Via Tassoni Via Terrachini Via Malaguzzi Via Podgora
Via Debeli Via Vigarani Via AicardiVia Borciani Via Livi Via Caselli Via Corti [UBICAZIONE PLURIMA – NON PUNTUALE, COORDINATE NON APPLICABILI]</t>
  </si>
  <si>
    <t>varie vie: L'intervento interesserà in tutto 15 attraversamenti pedonali distribuiti lungo arterie di grande traffico della città:N° 5 in viale Timavo, N° 3 in viale dei Mille, N° 3 in viale Piave, N° 2 in via Vico, N° 1 in via Newton, N° 1 in via G. Bruno. [UBICAZIONE PLURIMA – NON PUNTUALE, COORDINATE NON APPLICABILI]</t>
  </si>
  <si>
    <t>SEDI VARIE DEI CENTRI DI FACILITAZIONE DIGITALE [UBICAZIONE PLURIMA – NON PUNTUALE, COORDINATE NON APPLICABILI]</t>
  </si>
  <si>
    <t>SENZA SEDE FISICA - idealmente sede CUED in P.zza Scapinelli 19</t>
  </si>
  <si>
    <t>LATITUDINE FINE</t>
  </si>
  <si>
    <t>LONGITUDINE 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</si>
</sst>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€-410]\ #,##0.00;[Red]\-[$€-410]\ #,##0.00"/>
    <numFmt numFmtId="165" formatCode="0.000000"/>
    <numFmt numFmtId="166" formatCode="0&quot;%&quot;"/>
  </numFmts>
  <fonts count="28" x14ac:knownFonts="1"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trike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Titillium Web"/>
    </font>
    <font>
      <sz val="10"/>
      <name val="Titillium Web"/>
    </font>
    <font>
      <b/>
      <sz val="10"/>
      <name val="Titillium Web"/>
    </font>
    <font>
      <sz val="10"/>
      <color indexed="8"/>
      <name val="Titillium Web"/>
    </font>
    <font>
      <sz val="11"/>
      <name val="Titillium Web"/>
    </font>
    <font>
      <sz val="10"/>
      <color indexed="60"/>
      <name val="Titillium Web"/>
    </font>
    <font>
      <b/>
      <sz val="11"/>
      <name val="Titillium Web"/>
    </font>
    <font>
      <sz val="12"/>
      <name val="Titillium Web"/>
    </font>
    <font>
      <b/>
      <i/>
      <sz val="10"/>
      <name val="Titillium Web"/>
    </font>
    <font>
      <b/>
      <sz val="10"/>
      <color rgb="FF000000"/>
      <name val="Titillium Web"/>
    </font>
    <font>
      <i/>
      <sz val="10"/>
      <name val="Titillium Web"/>
    </font>
    <font>
      <sz val="9"/>
      <color indexed="81"/>
      <name val="Tahoma"/>
      <family val="2"/>
    </font>
    <font>
      <sz val="10"/>
      <color rgb="FF000000"/>
      <name val="Titillium Web"/>
    </font>
    <font>
      <i/>
      <sz val="10"/>
      <color rgb="FF000000"/>
      <name val="Titillium Web"/>
    </font>
    <font>
      <b/>
      <i/>
      <sz val="10"/>
      <color rgb="FF000000"/>
      <name val="Titillium Web"/>
    </font>
    <font>
      <b/>
      <i/>
      <sz val="12"/>
      <color rgb="FFFFFFFF"/>
      <name val="Titillium Web"/>
    </font>
    <font>
      <b/>
      <sz val="11"/>
      <color rgb="FFFF0000"/>
      <name val="Titillium Web"/>
    </font>
    <font>
      <sz val="10"/>
      <color rgb="FFFF0000"/>
      <name val="Titillium Web"/>
    </font>
    <font>
      <sz val="12"/>
      <color theme="10"/>
      <name val="Aptos Narrow"/>
      <family val="2"/>
      <scheme val="minor"/>
    </font>
    <font>
      <b/>
      <sz val="9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22"/>
      </patternFill>
    </fill>
    <fill>
      <patternFill patternType="solid">
        <fgColor indexed="51"/>
        <bgColor indexed="52"/>
      </patternFill>
    </fill>
    <fill>
      <patternFill patternType="solid">
        <fgColor indexed="24"/>
        <bgColor indexed="23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22"/>
      </patternFill>
    </fill>
    <fill>
      <patternFill patternType="solid">
        <fgColor theme="2" tint="-9.9978637043366805E-2"/>
        <bgColor indexed="26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26" fillId="0" borderId="0"/>
  </cellStyleXfs>
  <cellXfs count="20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4" fontId="2" fillId="7" borderId="2" xfId="0" applyNumberFormat="1" applyFont="1" applyFill="1" applyBorder="1" applyAlignment="1">
      <alignment vertical="center" wrapText="1"/>
    </xf>
    <xf numFmtId="4" fontId="3" fillId="0" borderId="2" xfId="0" applyNumberFormat="1" applyFont="1" applyBorder="1" applyAlignment="1">
      <alignment horizontal="right" vertical="center" wrapText="1"/>
    </xf>
    <xf numFmtId="4" fontId="3" fillId="0" borderId="2" xfId="0" applyNumberFormat="1" applyFont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4" fontId="2" fillId="7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4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4" fontId="3" fillId="0" borderId="3" xfId="0" applyNumberFormat="1" applyFont="1" applyBorder="1" applyAlignment="1">
      <alignment vertical="center" wrapText="1"/>
    </xf>
    <xf numFmtId="0" fontId="0" fillId="0" borderId="4" xfId="0" applyBorder="1"/>
    <xf numFmtId="4" fontId="3" fillId="0" borderId="0" xfId="0" applyNumberFormat="1" applyFont="1" applyAlignment="1">
      <alignment horizontal="right" vertical="center" wrapText="1"/>
    </xf>
    <xf numFmtId="0" fontId="8" fillId="18" borderId="5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9" fillId="0" borderId="5" xfId="0" applyFont="1" applyBorder="1" applyAlignment="1">
      <alignment horizontal="center"/>
    </xf>
    <xf numFmtId="0" fontId="9" fillId="9" borderId="5" xfId="0" applyFont="1" applyFill="1" applyBorder="1" applyAlignment="1">
      <alignment horizontal="center" vertical="center" wrapText="1"/>
    </xf>
    <xf numFmtId="0" fontId="9" fillId="19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64" fontId="9" fillId="3" borderId="5" xfId="0" applyNumberFormat="1" applyFont="1" applyFill="1" applyBorder="1" applyAlignment="1">
      <alignment horizontal="center" vertical="center" wrapText="1"/>
    </xf>
    <xf numFmtId="165" fontId="9" fillId="3" borderId="5" xfId="0" applyNumberFormat="1" applyFont="1" applyFill="1" applyBorder="1" applyAlignment="1">
      <alignment horizontal="right" vertical="center" wrapText="1"/>
    </xf>
    <xf numFmtId="164" fontId="9" fillId="0" borderId="5" xfId="0" applyNumberFormat="1" applyFont="1" applyBorder="1" applyAlignment="1">
      <alignment horizontal="right" vertical="center" wrapText="1"/>
    </xf>
    <xf numFmtId="164" fontId="11" fillId="0" borderId="5" xfId="0" applyNumberFormat="1" applyFont="1" applyBorder="1" applyAlignment="1">
      <alignment horizontal="right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164" fontId="9" fillId="8" borderId="5" xfId="0" applyNumberFormat="1" applyFont="1" applyFill="1" applyBorder="1" applyAlignment="1">
      <alignment horizontal="right" vertical="center" wrapText="1"/>
    </xf>
    <xf numFmtId="164" fontId="13" fillId="8" borderId="5" xfId="0" applyNumberFormat="1" applyFont="1" applyFill="1" applyBorder="1" applyAlignment="1">
      <alignment horizontal="right" vertical="center" wrapText="1"/>
    </xf>
    <xf numFmtId="164" fontId="9" fillId="5" borderId="5" xfId="0" applyNumberFormat="1" applyFont="1" applyFill="1" applyBorder="1" applyAlignment="1">
      <alignment horizontal="right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165" fontId="14" fillId="0" borderId="5" xfId="0" applyNumberFormat="1" applyFont="1" applyBorder="1" applyAlignment="1">
      <alignment horizontal="right" vertical="center" wrapText="1"/>
    </xf>
    <xf numFmtId="164" fontId="10" fillId="0" borderId="5" xfId="0" applyNumberFormat="1" applyFont="1" applyBorder="1" applyAlignment="1">
      <alignment horizontal="right" vertical="center" wrapText="1"/>
    </xf>
    <xf numFmtId="164" fontId="14" fillId="0" borderId="5" xfId="0" applyNumberFormat="1" applyFont="1" applyBorder="1" applyAlignment="1">
      <alignment horizontal="right" vertical="center" wrapText="1"/>
    </xf>
    <xf numFmtId="164" fontId="13" fillId="0" borderId="5" xfId="0" applyNumberFormat="1" applyFont="1" applyBorder="1" applyAlignment="1">
      <alignment horizontal="right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165" fontId="9" fillId="0" borderId="5" xfId="0" applyNumberFormat="1" applyFont="1" applyBorder="1" applyAlignment="1">
      <alignment horizontal="right" vertical="center" wrapText="1"/>
    </xf>
    <xf numFmtId="0" fontId="9" fillId="13" borderId="5" xfId="0" applyFont="1" applyFill="1" applyBorder="1" applyAlignment="1">
      <alignment horizontal="center" vertical="center" wrapText="1"/>
    </xf>
    <xf numFmtId="164" fontId="11" fillId="3" borderId="5" xfId="0" applyNumberFormat="1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wrapText="1"/>
    </xf>
    <xf numFmtId="164" fontId="11" fillId="8" borderId="5" xfId="0" applyNumberFormat="1" applyFont="1" applyFill="1" applyBorder="1" applyAlignment="1">
      <alignment horizontal="right" vertical="center" wrapText="1"/>
    </xf>
    <xf numFmtId="0" fontId="9" fillId="15" borderId="5" xfId="0" applyFont="1" applyFill="1" applyBorder="1" applyAlignment="1">
      <alignment horizontal="center" vertical="center" wrapText="1"/>
    </xf>
    <xf numFmtId="164" fontId="9" fillId="6" borderId="5" xfId="0" applyNumberFormat="1" applyFont="1" applyFill="1" applyBorder="1" applyAlignment="1">
      <alignment horizontal="right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5" borderId="5" xfId="0" applyFont="1" applyFill="1" applyBorder="1" applyAlignment="1">
      <alignment horizontal="right" vertical="center" wrapText="1"/>
    </xf>
    <xf numFmtId="0" fontId="9" fillId="16" borderId="5" xfId="0" applyFont="1" applyFill="1" applyBorder="1" applyAlignment="1">
      <alignment horizontal="center" vertical="center" wrapText="1"/>
    </xf>
    <xf numFmtId="165" fontId="15" fillId="3" borderId="5" xfId="0" applyNumberFormat="1" applyFont="1" applyFill="1" applyBorder="1" applyAlignment="1">
      <alignment horizontal="right" vertical="center" wrapText="1"/>
    </xf>
    <xf numFmtId="0" fontId="9" fillId="17" borderId="5" xfId="0" applyFont="1" applyFill="1" applyBorder="1" applyAlignment="1">
      <alignment horizontal="center" vertical="center" wrapText="1"/>
    </xf>
    <xf numFmtId="165" fontId="9" fillId="0" borderId="5" xfId="0" applyNumberFormat="1" applyFont="1" applyBorder="1" applyAlignment="1">
      <alignment horizontal="right"/>
    </xf>
    <xf numFmtId="0" fontId="9" fillId="15" borderId="5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4" fontId="9" fillId="0" borderId="5" xfId="0" applyNumberFormat="1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 wrapText="1"/>
    </xf>
    <xf numFmtId="4" fontId="18" fillId="0" borderId="5" xfId="0" applyNumberFormat="1" applyFont="1" applyBorder="1" applyAlignment="1">
      <alignment horizontal="right" vertical="center" wrapText="1"/>
    </xf>
    <xf numFmtId="0" fontId="0" fillId="0" borderId="3" xfId="0" applyBorder="1" applyAlignment="1">
      <alignment wrapText="1"/>
    </xf>
    <xf numFmtId="4" fontId="4" fillId="0" borderId="3" xfId="0" applyNumberFormat="1" applyFont="1" applyBorder="1" applyAlignment="1">
      <alignment vertical="center" wrapText="1"/>
    </xf>
    <xf numFmtId="164" fontId="9" fillId="0" borderId="10" xfId="0" applyNumberFormat="1" applyFont="1" applyBorder="1" applyAlignment="1">
      <alignment horizontal="right" vertical="center" wrapText="1"/>
    </xf>
    <xf numFmtId="164" fontId="11" fillId="0" borderId="10" xfId="0" applyNumberFormat="1" applyFont="1" applyBorder="1" applyAlignment="1">
      <alignment horizontal="right" vertical="center" wrapText="1"/>
    </xf>
    <xf numFmtId="164" fontId="14" fillId="0" borderId="10" xfId="0" applyNumberFormat="1" applyFont="1" applyBorder="1" applyAlignment="1">
      <alignment horizontal="right" vertical="center" wrapText="1"/>
    </xf>
    <xf numFmtId="166" fontId="20" fillId="0" borderId="5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/>
    </xf>
    <xf numFmtId="14" fontId="20" fillId="4" borderId="5" xfId="0" applyNumberFormat="1" applyFont="1" applyFill="1" applyBorder="1" applyAlignment="1">
      <alignment horizontal="center" vertical="center"/>
    </xf>
    <xf numFmtId="166" fontId="20" fillId="4" borderId="5" xfId="0" applyNumberFormat="1" applyFont="1" applyFill="1" applyBorder="1" applyAlignment="1">
      <alignment horizontal="center" vertical="center" wrapText="1"/>
    </xf>
    <xf numFmtId="166" fontId="20" fillId="0" borderId="5" xfId="0" applyNumberFormat="1" applyFont="1" applyBorder="1" applyAlignment="1">
      <alignment horizontal="center"/>
    </xf>
    <xf numFmtId="166" fontId="21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wrapText="1"/>
    </xf>
    <xf numFmtId="4" fontId="2" fillId="0" borderId="2" xfId="0" applyNumberFormat="1" applyFont="1" applyBorder="1" applyAlignment="1">
      <alignment vertical="center" wrapText="1"/>
    </xf>
    <xf numFmtId="4" fontId="2" fillId="0" borderId="2" xfId="0" applyNumberFormat="1" applyFont="1" applyBorder="1" applyAlignment="1">
      <alignment horizontal="right" vertical="center" wrapText="1"/>
    </xf>
    <xf numFmtId="4" fontId="16" fillId="0" borderId="5" xfId="0" applyNumberFormat="1" applyFont="1" applyBorder="1" applyAlignment="1">
      <alignment vertical="center" wrapText="1"/>
    </xf>
    <xf numFmtId="4" fontId="16" fillId="0" borderId="5" xfId="0" applyNumberFormat="1" applyFont="1" applyBorder="1" applyAlignment="1">
      <alignment horizontal="right" vertical="center" wrapText="1"/>
    </xf>
    <xf numFmtId="4" fontId="3" fillId="0" borderId="0" xfId="0" applyNumberFormat="1" applyFont="1" applyAlignment="1">
      <alignment vertical="center" wrapText="1"/>
    </xf>
    <xf numFmtId="0" fontId="10" fillId="0" borderId="5" xfId="0" applyFont="1" applyBorder="1" applyAlignment="1">
      <alignment horizontal="center"/>
    </xf>
    <xf numFmtId="166" fontId="22" fillId="0" borderId="5" xfId="0" applyNumberFormat="1" applyFont="1" applyBorder="1" applyAlignment="1">
      <alignment horizontal="center" vertical="center" wrapText="1"/>
    </xf>
    <xf numFmtId="14" fontId="17" fillId="0" borderId="5" xfId="0" applyNumberFormat="1" applyFont="1" applyBorder="1" applyAlignment="1">
      <alignment horizontal="center" vertical="center"/>
    </xf>
    <xf numFmtId="165" fontId="10" fillId="3" borderId="5" xfId="0" applyNumberFormat="1" applyFont="1" applyFill="1" applyBorder="1" applyAlignment="1">
      <alignment horizontal="right" vertical="center" wrapText="1"/>
    </xf>
    <xf numFmtId="165" fontId="10" fillId="3" borderId="5" xfId="0" applyNumberFormat="1" applyFont="1" applyFill="1" applyBorder="1" applyAlignment="1">
      <alignment horizontal="center" vertical="center" wrapText="1"/>
    </xf>
    <xf numFmtId="164" fontId="16" fillId="0" borderId="5" xfId="0" applyNumberFormat="1" applyFont="1" applyBorder="1" applyAlignment="1">
      <alignment horizontal="right" vertical="center" wrapText="1"/>
    </xf>
    <xf numFmtId="0" fontId="9" fillId="0" borderId="6" xfId="0" applyFont="1" applyBorder="1" applyAlignment="1">
      <alignment horizontal="center"/>
    </xf>
    <xf numFmtId="0" fontId="9" fillId="15" borderId="6" xfId="0" applyFont="1" applyFill="1" applyBorder="1" applyAlignment="1">
      <alignment vertical="center" wrapText="1"/>
    </xf>
    <xf numFmtId="0" fontId="9" fillId="19" borderId="6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166" fontId="21" fillId="0" borderId="6" xfId="0" applyNumberFormat="1" applyFont="1" applyBorder="1" applyAlignment="1">
      <alignment horizontal="center" vertical="center" wrapText="1"/>
    </xf>
    <xf numFmtId="14" fontId="20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165" fontId="9" fillId="3" borderId="6" xfId="0" applyNumberFormat="1" applyFont="1" applyFill="1" applyBorder="1" applyAlignment="1">
      <alignment horizontal="right" vertical="center" wrapText="1"/>
    </xf>
    <xf numFmtId="4" fontId="9" fillId="0" borderId="6" xfId="0" applyNumberFormat="1" applyFont="1" applyBorder="1" applyAlignment="1">
      <alignment horizontal="right" vertical="center" wrapText="1"/>
    </xf>
    <xf numFmtId="0" fontId="9" fillId="0" borderId="6" xfId="0" applyFont="1" applyBorder="1" applyAlignment="1">
      <alignment horizontal="right" vertical="center" wrapText="1"/>
    </xf>
    <xf numFmtId="4" fontId="18" fillId="0" borderId="6" xfId="0" applyNumberFormat="1" applyFont="1" applyBorder="1" applyAlignment="1">
      <alignment horizontal="right" vertical="center" wrapText="1"/>
    </xf>
    <xf numFmtId="0" fontId="9" fillId="0" borderId="11" xfId="0" applyFont="1" applyBorder="1"/>
    <xf numFmtId="0" fontId="9" fillId="0" borderId="11" xfId="0" applyFont="1" applyBorder="1" applyAlignment="1">
      <alignment horizontal="center" vertical="center" wrapText="1"/>
    </xf>
    <xf numFmtId="164" fontId="9" fillId="0" borderId="11" xfId="0" applyNumberFormat="1" applyFont="1" applyBorder="1" applyAlignment="1">
      <alignment horizontal="center" vertical="center" wrapText="1"/>
    </xf>
    <xf numFmtId="165" fontId="10" fillId="0" borderId="5" xfId="0" applyNumberFormat="1" applyFont="1" applyBorder="1" applyAlignment="1">
      <alignment horizontal="right" vertical="center" wrapText="1"/>
    </xf>
    <xf numFmtId="165" fontId="10" fillId="0" borderId="5" xfId="0" applyNumberFormat="1" applyFont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right" vertical="center" wrapText="1"/>
    </xf>
    <xf numFmtId="0" fontId="18" fillId="0" borderId="11" xfId="0" applyFont="1" applyBorder="1" applyAlignment="1">
      <alignment horizontal="right" vertical="center" wrapText="1"/>
    </xf>
    <xf numFmtId="0" fontId="9" fillId="0" borderId="11" xfId="0" applyFont="1" applyBorder="1" applyAlignment="1">
      <alignment vertical="center" wrapText="1"/>
    </xf>
    <xf numFmtId="166" fontId="21" fillId="0" borderId="11" xfId="0" applyNumberFormat="1" applyFont="1" applyBorder="1" applyAlignment="1">
      <alignment horizontal="center" vertical="center" wrapText="1"/>
    </xf>
    <xf numFmtId="14" fontId="20" fillId="0" borderId="11" xfId="0" applyNumberFormat="1" applyFont="1" applyBorder="1" applyAlignment="1">
      <alignment horizontal="center" vertical="center" wrapText="1"/>
    </xf>
    <xf numFmtId="165" fontId="9" fillId="0" borderId="11" xfId="0" applyNumberFormat="1" applyFont="1" applyBorder="1" applyAlignment="1">
      <alignment horizontal="right" vertical="center" wrapText="1"/>
    </xf>
    <xf numFmtId="4" fontId="9" fillId="0" borderId="11" xfId="0" applyNumberFormat="1" applyFont="1" applyBorder="1" applyAlignment="1">
      <alignment horizontal="right" vertical="center" wrapText="1"/>
    </xf>
    <xf numFmtId="0" fontId="9" fillId="0" borderId="11" xfId="0" applyFont="1" applyBorder="1" applyAlignment="1">
      <alignment horizontal="right" vertical="center" wrapText="1"/>
    </xf>
    <xf numFmtId="4" fontId="18" fillId="0" borderId="11" xfId="0" applyNumberFormat="1" applyFont="1" applyBorder="1" applyAlignment="1">
      <alignment horizontal="right" vertical="center" wrapText="1"/>
    </xf>
    <xf numFmtId="166" fontId="17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wrapText="1"/>
    </xf>
    <xf numFmtId="0" fontId="9" fillId="9" borderId="6" xfId="0" applyFont="1" applyFill="1" applyBorder="1" applyAlignment="1">
      <alignment horizontal="center" vertical="center" wrapText="1"/>
    </xf>
    <xf numFmtId="166" fontId="20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wrapText="1"/>
    </xf>
    <xf numFmtId="164" fontId="9" fillId="0" borderId="6" xfId="0" applyNumberFormat="1" applyFont="1" applyBorder="1" applyAlignment="1">
      <alignment horizontal="right" vertical="center" wrapText="1"/>
    </xf>
    <xf numFmtId="0" fontId="9" fillId="0" borderId="11" xfId="0" applyFont="1" applyBorder="1" applyAlignment="1">
      <alignment horizontal="center"/>
    </xf>
    <xf numFmtId="166" fontId="20" fillId="0" borderId="11" xfId="0" applyNumberFormat="1" applyFont="1" applyBorder="1" applyAlignment="1">
      <alignment horizontal="center"/>
    </xf>
    <xf numFmtId="14" fontId="20" fillId="0" borderId="11" xfId="0" applyNumberFormat="1" applyFont="1" applyBorder="1" applyAlignment="1">
      <alignment horizontal="center"/>
    </xf>
    <xf numFmtId="165" fontId="9" fillId="0" borderId="11" xfId="0" applyNumberFormat="1" applyFont="1" applyBorder="1" applyAlignment="1">
      <alignment horizontal="right"/>
    </xf>
    <xf numFmtId="164" fontId="9" fillId="0" borderId="11" xfId="0" applyNumberFormat="1" applyFont="1" applyBorder="1" applyAlignment="1">
      <alignment horizontal="right" vertical="center" wrapText="1"/>
    </xf>
    <xf numFmtId="0" fontId="9" fillId="16" borderId="6" xfId="0" applyFont="1" applyFill="1" applyBorder="1" applyAlignment="1">
      <alignment horizontal="center" vertical="center" wrapText="1"/>
    </xf>
    <xf numFmtId="14" fontId="17" fillId="0" borderId="5" xfId="0" applyNumberFormat="1" applyFont="1" applyBorder="1" applyAlignment="1">
      <alignment horizontal="center"/>
    </xf>
    <xf numFmtId="0" fontId="9" fillId="17" borderId="6" xfId="0" applyFont="1" applyFill="1" applyBorder="1" applyAlignment="1">
      <alignment horizontal="center" vertical="center" wrapText="1"/>
    </xf>
    <xf numFmtId="14" fontId="20" fillId="0" borderId="6" xfId="0" applyNumberFormat="1" applyFont="1" applyBorder="1" applyAlignment="1">
      <alignment horizontal="center"/>
    </xf>
    <xf numFmtId="0" fontId="10" fillId="3" borderId="5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166" fontId="22" fillId="0" borderId="6" xfId="0" applyNumberFormat="1" applyFont="1" applyBorder="1" applyAlignment="1">
      <alignment horizontal="center" vertical="center" wrapText="1"/>
    </xf>
    <xf numFmtId="14" fontId="17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165" fontId="10" fillId="3" borderId="6" xfId="0" applyNumberFormat="1" applyFont="1" applyFill="1" applyBorder="1" applyAlignment="1">
      <alignment horizontal="center" vertical="center" wrapText="1"/>
    </xf>
    <xf numFmtId="164" fontId="10" fillId="0" borderId="6" xfId="0" applyNumberFormat="1" applyFont="1" applyBorder="1" applyAlignment="1">
      <alignment horizontal="right" vertical="center" wrapText="1"/>
    </xf>
    <xf numFmtId="164" fontId="16" fillId="0" borderId="6" xfId="0" applyNumberFormat="1" applyFont="1" applyBorder="1" applyAlignment="1">
      <alignment horizontal="right" vertical="center" wrapText="1"/>
    </xf>
    <xf numFmtId="0" fontId="8" fillId="18" borderId="14" xfId="0" applyFont="1" applyFill="1" applyBorder="1" applyAlignment="1">
      <alignment horizontal="center"/>
    </xf>
    <xf numFmtId="166" fontId="23" fillId="18" borderId="14" xfId="0" applyNumberFormat="1" applyFont="1" applyFill="1" applyBorder="1" applyAlignment="1">
      <alignment horizontal="center" vertical="center" wrapText="1"/>
    </xf>
    <xf numFmtId="14" fontId="8" fillId="18" borderId="14" xfId="0" applyNumberFormat="1" applyFont="1" applyFill="1" applyBorder="1" applyAlignment="1">
      <alignment horizontal="center" vertical="center"/>
    </xf>
    <xf numFmtId="0" fontId="8" fillId="18" borderId="14" xfId="0" applyFont="1" applyFill="1" applyBorder="1" applyAlignment="1">
      <alignment horizontal="center" vertical="center" wrapText="1"/>
    </xf>
    <xf numFmtId="165" fontId="8" fillId="18" borderId="14" xfId="0" applyNumberFormat="1" applyFont="1" applyFill="1" applyBorder="1" applyAlignment="1">
      <alignment horizontal="center" vertical="center" wrapText="1"/>
    </xf>
    <xf numFmtId="164" fontId="8" fillId="18" borderId="14" xfId="0" applyNumberFormat="1" applyFont="1" applyFill="1" applyBorder="1" applyAlignment="1">
      <alignment horizontal="right" vertical="center" wrapText="1"/>
    </xf>
    <xf numFmtId="164" fontId="23" fillId="18" borderId="14" xfId="0" applyNumberFormat="1" applyFont="1" applyFill="1" applyBorder="1" applyAlignment="1">
      <alignment horizontal="right" vertical="center" wrapText="1"/>
    </xf>
    <xf numFmtId="164" fontId="24" fillId="0" borderId="5" xfId="0" applyNumberFormat="1" applyFont="1" applyBorder="1" applyAlignment="1">
      <alignment horizontal="right" vertical="center" wrapText="1"/>
    </xf>
    <xf numFmtId="0" fontId="7" fillId="20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26" fillId="0" borderId="0" xfId="2"/>
    <xf numFmtId="0" fontId="7" fillId="21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14" fontId="0" fillId="0" borderId="0" xfId="0" applyNumberFormat="1" applyAlignment="1">
      <alignment horizontal="center"/>
    </xf>
    <xf numFmtId="9" fontId="20" fillId="4" borderId="5" xfId="1" applyFont="1" applyFill="1" applyBorder="1" applyAlignment="1">
      <alignment horizontal="center" vertical="center" wrapText="1"/>
    </xf>
    <xf numFmtId="9" fontId="20" fillId="0" borderId="5" xfId="1" applyFont="1" applyFill="1" applyBorder="1" applyAlignment="1">
      <alignment horizontal="center" vertical="center" wrapText="1"/>
    </xf>
    <xf numFmtId="165" fontId="9" fillId="3" borderId="8" xfId="0" applyNumberFormat="1" applyFont="1" applyFill="1" applyBorder="1" applyAlignment="1">
      <alignment horizontal="right" vertical="center" wrapText="1"/>
    </xf>
    <xf numFmtId="165" fontId="9" fillId="0" borderId="8" xfId="0" applyNumberFormat="1" applyFont="1" applyBorder="1" applyAlignment="1">
      <alignment horizontal="right" vertical="center" wrapText="1"/>
    </xf>
    <xf numFmtId="165" fontId="14" fillId="0" borderId="8" xfId="0" applyNumberFormat="1" applyFont="1" applyBorder="1" applyAlignment="1">
      <alignment horizontal="right" vertical="center" wrapText="1"/>
    </xf>
    <xf numFmtId="165" fontId="9" fillId="3" borderId="7" xfId="0" applyNumberFormat="1" applyFont="1" applyFill="1" applyBorder="1" applyAlignment="1">
      <alignment horizontal="right" vertical="center" wrapText="1"/>
    </xf>
    <xf numFmtId="165" fontId="10" fillId="3" borderId="8" xfId="0" applyNumberFormat="1" applyFont="1" applyFill="1" applyBorder="1" applyAlignment="1">
      <alignment horizontal="center" vertical="center" wrapText="1"/>
    </xf>
    <xf numFmtId="165" fontId="15" fillId="3" borderId="8" xfId="0" applyNumberFormat="1" applyFont="1" applyFill="1" applyBorder="1" applyAlignment="1">
      <alignment horizontal="right" vertical="center" wrapText="1"/>
    </xf>
    <xf numFmtId="165" fontId="9" fillId="0" borderId="12" xfId="0" applyNumberFormat="1" applyFont="1" applyBorder="1" applyAlignment="1">
      <alignment horizontal="right"/>
    </xf>
    <xf numFmtId="165" fontId="9" fillId="0" borderId="7" xfId="0" applyNumberFormat="1" applyFont="1" applyBorder="1" applyAlignment="1">
      <alignment horizontal="right" vertical="center" wrapText="1"/>
    </xf>
    <xf numFmtId="165" fontId="10" fillId="0" borderId="8" xfId="0" applyNumberFormat="1" applyFont="1" applyBorder="1" applyAlignment="1">
      <alignment horizontal="center" vertical="center" wrapText="1"/>
    </xf>
    <xf numFmtId="165" fontId="9" fillId="0" borderId="12" xfId="0" applyNumberFormat="1" applyFont="1" applyBorder="1" applyAlignment="1">
      <alignment horizontal="right" vertical="center" wrapText="1"/>
    </xf>
    <xf numFmtId="165" fontId="10" fillId="3" borderId="7" xfId="0" applyNumberFormat="1" applyFont="1" applyFill="1" applyBorder="1" applyAlignment="1">
      <alignment horizontal="center" vertical="center" wrapText="1"/>
    </xf>
    <xf numFmtId="165" fontId="8" fillId="18" borderId="15" xfId="0" applyNumberFormat="1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64" fontId="24" fillId="3" borderId="10" xfId="0" applyNumberFormat="1" applyFont="1" applyFill="1" applyBorder="1" applyAlignment="1">
      <alignment horizontal="right" vertical="center" wrapText="1"/>
    </xf>
    <xf numFmtId="164" fontId="9" fillId="0" borderId="13" xfId="0" applyNumberFormat="1" applyFont="1" applyBorder="1" applyAlignment="1">
      <alignment horizontal="right" vertical="center" wrapText="1"/>
    </xf>
    <xf numFmtId="164" fontId="9" fillId="0" borderId="9" xfId="0" applyNumberFormat="1" applyFont="1" applyBorder="1" applyAlignment="1">
      <alignment horizontal="right" vertical="center" wrapText="1"/>
    </xf>
    <xf numFmtId="4" fontId="9" fillId="0" borderId="10" xfId="0" applyNumberFormat="1" applyFont="1" applyBorder="1" applyAlignment="1">
      <alignment horizontal="right" vertical="center" wrapText="1"/>
    </xf>
    <xf numFmtId="4" fontId="9" fillId="0" borderId="13" xfId="0" applyNumberFormat="1" applyFont="1" applyBorder="1" applyAlignment="1">
      <alignment horizontal="right" vertical="center" wrapText="1"/>
    </xf>
    <xf numFmtId="4" fontId="9" fillId="0" borderId="9" xfId="0" applyNumberFormat="1" applyFont="1" applyBorder="1" applyAlignment="1">
      <alignment horizontal="right" vertical="center" wrapText="1"/>
    </xf>
    <xf numFmtId="164" fontId="8" fillId="18" borderId="16" xfId="0" applyNumberFormat="1" applyFont="1" applyFill="1" applyBorder="1" applyAlignment="1">
      <alignment horizontal="right" vertical="center" wrapText="1"/>
    </xf>
    <xf numFmtId="164" fontId="9" fillId="0" borderId="9" xfId="0" applyNumberFormat="1" applyFont="1" applyBorder="1" applyAlignment="1">
      <alignment horizontal="center" vertical="center" wrapText="1"/>
    </xf>
    <xf numFmtId="164" fontId="14" fillId="0" borderId="13" xfId="0" applyNumberFormat="1" applyFont="1" applyBorder="1" applyAlignment="1">
      <alignment horizontal="right" vertical="center" wrapText="1"/>
    </xf>
    <xf numFmtId="164" fontId="14" fillId="0" borderId="6" xfId="0" applyNumberFormat="1" applyFont="1" applyBorder="1" applyAlignment="1">
      <alignment horizontal="right" vertical="center" wrapText="1"/>
    </xf>
    <xf numFmtId="164" fontId="25" fillId="23" borderId="10" xfId="0" applyNumberFormat="1" applyFont="1" applyFill="1" applyBorder="1" applyAlignment="1">
      <alignment horizontal="right" vertical="center" wrapText="1"/>
    </xf>
    <xf numFmtId="164" fontId="25" fillId="23" borderId="5" xfId="0" applyNumberFormat="1" applyFont="1" applyFill="1" applyBorder="1" applyAlignment="1">
      <alignment horizontal="right" vertical="center" wrapText="1"/>
    </xf>
    <xf numFmtId="0" fontId="25" fillId="22" borderId="5" xfId="0" applyFont="1" applyFill="1" applyBorder="1" applyAlignment="1">
      <alignment horizontal="center" vertical="center" wrapText="1"/>
    </xf>
    <xf numFmtId="0" fontId="25" fillId="23" borderId="5" xfId="0" applyFont="1" applyFill="1" applyBorder="1" applyAlignment="1">
      <alignment horizontal="center" vertical="center" wrapText="1"/>
    </xf>
    <xf numFmtId="166" fontId="25" fillId="23" borderId="5" xfId="0" applyNumberFormat="1" applyFont="1" applyFill="1" applyBorder="1" applyAlignment="1">
      <alignment horizontal="center" vertical="center"/>
    </xf>
    <xf numFmtId="14" fontId="25" fillId="23" borderId="5" xfId="0" applyNumberFormat="1" applyFont="1" applyFill="1" applyBorder="1" applyAlignment="1">
      <alignment horizontal="center" vertical="center"/>
    </xf>
    <xf numFmtId="165" fontId="25" fillId="24" borderId="5" xfId="0" applyNumberFormat="1" applyFont="1" applyFill="1" applyBorder="1" applyAlignment="1">
      <alignment horizontal="right" vertical="center" wrapText="1"/>
    </xf>
    <xf numFmtId="165" fontId="25" fillId="24" borderId="8" xfId="0" applyNumberFormat="1" applyFont="1" applyFill="1" applyBorder="1" applyAlignment="1">
      <alignment horizontal="right" vertical="center" wrapText="1"/>
    </xf>
    <xf numFmtId="0" fontId="25" fillId="23" borderId="10" xfId="0" applyFont="1" applyFill="1" applyBorder="1" applyAlignment="1">
      <alignment horizontal="right" vertical="center" wrapText="1"/>
    </xf>
    <xf numFmtId="0" fontId="25" fillId="23" borderId="5" xfId="0" applyFont="1" applyFill="1" applyBorder="1" applyAlignment="1">
      <alignment horizontal="right" vertical="center" wrapText="1"/>
    </xf>
    <xf numFmtId="0" fontId="10" fillId="0" borderId="5" xfId="0" applyFont="1" applyBorder="1" applyAlignment="1">
      <alignment horizontal="center"/>
    </xf>
    <xf numFmtId="0" fontId="8" fillId="18" borderId="14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49" fontId="17" fillId="11" borderId="5" xfId="0" applyNumberFormat="1" applyFont="1" applyFill="1" applyBorder="1" applyAlignment="1">
      <alignment horizontal="center" vertical="center" wrapText="1"/>
    </xf>
    <xf numFmtId="166" fontId="20" fillId="11" borderId="5" xfId="0" applyNumberFormat="1" applyFont="1" applyFill="1" applyBorder="1" applyAlignment="1">
      <alignment horizontal="center" vertical="center" wrapText="1"/>
    </xf>
    <xf numFmtId="14" fontId="20" fillId="11" borderId="5" xfId="0" applyNumberFormat="1" applyFont="1" applyFill="1" applyBorder="1" applyAlignment="1">
      <alignment horizontal="center" vertical="center" wrapText="1"/>
    </xf>
    <xf numFmtId="49" fontId="17" fillId="11" borderId="5" xfId="0" applyNumberFormat="1" applyFont="1" applyFill="1" applyBorder="1" applyAlignment="1">
      <alignment horizontal="right" vertical="center" wrapText="1"/>
    </xf>
    <xf numFmtId="49" fontId="17" fillId="11" borderId="8" xfId="0" applyNumberFormat="1" applyFont="1" applyFill="1" applyBorder="1" applyAlignment="1">
      <alignment horizontal="right" vertical="center" wrapText="1"/>
    </xf>
    <xf numFmtId="165" fontId="17" fillId="11" borderId="5" xfId="0" applyNumberFormat="1" applyFont="1" applyFill="1" applyBorder="1" applyAlignment="1">
      <alignment horizontal="right" vertical="center" wrapText="1"/>
    </xf>
    <xf numFmtId="49" fontId="17" fillId="11" borderId="10" xfId="0" applyNumberFormat="1" applyFont="1" applyFill="1" applyBorder="1" applyAlignment="1">
      <alignment horizontal="right" vertical="center" wrapText="1"/>
    </xf>
    <xf numFmtId="0" fontId="10" fillId="2" borderId="11" xfId="0" applyFont="1" applyFill="1" applyBorder="1" applyAlignment="1">
      <alignment horizontal="center" vertical="center" wrapText="1"/>
    </xf>
    <xf numFmtId="166" fontId="20" fillId="2" borderId="11" xfId="0" applyNumberFormat="1" applyFont="1" applyFill="1" applyBorder="1" applyAlignment="1">
      <alignment horizontal="center" vertical="center" wrapText="1"/>
    </xf>
    <xf numFmtId="14" fontId="20" fillId="2" borderId="11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right" vertical="center" wrapText="1"/>
    </xf>
    <xf numFmtId="0" fontId="10" fillId="2" borderId="12" xfId="0" applyFont="1" applyFill="1" applyBorder="1" applyAlignment="1">
      <alignment horizontal="right" vertical="center" wrapText="1"/>
    </xf>
    <xf numFmtId="165" fontId="10" fillId="2" borderId="5" xfId="0" applyNumberFormat="1" applyFont="1" applyFill="1" applyBorder="1" applyAlignment="1">
      <alignment horizontal="right" vertical="center" wrapText="1"/>
    </xf>
    <xf numFmtId="0" fontId="10" fillId="2" borderId="9" xfId="0" applyFont="1" applyFill="1" applyBorder="1" applyAlignment="1">
      <alignment horizontal="right" vertical="center" wrapText="1"/>
    </xf>
    <xf numFmtId="0" fontId="10" fillId="2" borderId="5" xfId="0" applyFont="1" applyFill="1" applyBorder="1" applyAlignment="1">
      <alignment horizontal="center" vertical="center" wrapText="1"/>
    </xf>
    <xf numFmtId="166" fontId="20" fillId="2" borderId="5" xfId="0" applyNumberFormat="1" applyFont="1" applyFill="1" applyBorder="1" applyAlignment="1">
      <alignment horizontal="center" vertical="center" wrapText="1"/>
    </xf>
    <xf numFmtId="14" fontId="20" fillId="2" borderId="5" xfId="0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horizontal="right" vertical="center" wrapText="1"/>
    </xf>
    <xf numFmtId="0" fontId="10" fillId="2" borderId="10" xfId="0" applyFont="1" applyFill="1" applyBorder="1" applyAlignment="1">
      <alignment horizontal="right" vertical="center" wrapText="1"/>
    </xf>
    <xf numFmtId="0" fontId="10" fillId="2" borderId="6" xfId="0" applyFont="1" applyFill="1" applyBorder="1" applyAlignment="1">
      <alignment horizontal="center" vertical="center" wrapText="1"/>
    </xf>
  </cellXfs>
  <cellStyles count="3">
    <cellStyle name="Collegamento ipertestuale 2" xfId="2" xr:uid="{BA5C6A39-A094-4D26-8A79-3792427429FE}"/>
    <cellStyle name="Normale" xfId="0" builtinId="0"/>
    <cellStyle name="Percentual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729FC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A6"/>
      <rgbColor rgb="0099CCFF"/>
      <rgbColor rgb="00FF99CC"/>
      <rgbColor rgb="00CC99FF"/>
      <rgbColor rgb="00FFCC99"/>
      <rgbColor rgb="003366FF"/>
      <rgbColor rgb="0033CCCC"/>
      <rgbColor rgb="0099CC00"/>
      <rgbColor rgb="00FFBF00"/>
      <rgbColor rgb="00FF9900"/>
      <rgbColor rgb="00FF6600"/>
      <rgbColor rgb="00666699"/>
      <rgbColor rgb="00B2B2B2"/>
      <rgbColor rgb="00003366"/>
      <rgbColor rgb="00339966"/>
      <rgbColor rgb="00003300"/>
      <rgbColor rgb="00333300"/>
      <rgbColor rgb="00C9211E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A11CCEE-F85C-424A-89F9-E1282AC17C4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4442bb7-8936-4403-b4a1-80835272e4b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lia.it/in/96982-46178" TargetMode="External"/><Relationship Id="rId21" Type="http://schemas.openxmlformats.org/officeDocument/2006/relationships/hyperlink" Target="https://mapcarta.com/search?q=Stadio%20Mirabello%20Reggio%20Emilia" TargetMode="External"/><Relationship Id="rId34" Type="http://schemas.openxmlformats.org/officeDocument/2006/relationships/hyperlink" Target="https://www.italiamappe.it/stradario/reggio-nell%27emilia/" TargetMode="External"/><Relationship Id="rId42" Type="http://schemas.openxmlformats.org/officeDocument/2006/relationships/hyperlink" Target="https://censimentoarchitetturecontemporanee.cultura.gov.it/" TargetMode="External"/><Relationship Id="rId47" Type="http://schemas.openxmlformats.org/officeDocument/2006/relationships/hyperlink" Target="https://www.comune.reggioemilia.it/" TargetMode="External"/><Relationship Id="rId50" Type="http://schemas.openxmlformats.org/officeDocument/2006/relationships/hyperlink" Target="https://www.comune.reggioemilia.it/" TargetMode="External"/><Relationship Id="rId55" Type="http://schemas.openxmlformats.org/officeDocument/2006/relationships/hyperlink" Target="https://www.comune.reggioemilia.it/" TargetMode="External"/><Relationship Id="rId63" Type="http://schemas.openxmlformats.org/officeDocument/2006/relationships/hyperlink" Target="https://www.comune.reggioemilia.it/amministrazione/documenti-e-dati/avvisi-e-bandi/bandi-di-gara-e-contratti-profilo-di-committente/stazione-appaltante-comune-di-reggio-emilia/lavori/pnrr-m5c2-i1-2-realizzazione-di-abitazioni-immobile-sito-in-via-mazzini-6-e-via-brigata-reggio-cig" TargetMode="External"/><Relationship Id="rId7" Type="http://schemas.openxmlformats.org/officeDocument/2006/relationships/hyperlink" Target="https://www.comune.reggioemilia.it/argomenti/attuazione-misure-pnrr/missione-5/pnrr-m5c2-i2-1-riqualificazione-e-rigenerazione-urbana-del-quadrante-nord-est-del-centro-storico-di-reggio-2013-riqualificazione-degli-orti-di-santa-chiara-1" TargetMode="External"/><Relationship Id="rId2" Type="http://schemas.openxmlformats.org/officeDocument/2006/relationships/hyperlink" Target="https://www.openstreetmap.org/search?query=Piazzale%20Reverberi%20Reggio%20Emilia" TargetMode="External"/><Relationship Id="rId16" Type="http://schemas.openxmlformats.org/officeDocument/2006/relationships/hyperlink" Target="https://www.comune.reggioemilia.it/argomenti/istituzione-scuole-e-nidi-dinfanzia" TargetMode="External"/><Relationship Id="rId29" Type="http://schemas.openxmlformats.org/officeDocument/2006/relationships/hyperlink" Target="https://cultura.gov.it/luogo/palazzo-dei-musei-reggio-emilia" TargetMode="External"/><Relationship Id="rId11" Type="http://schemas.openxmlformats.org/officeDocument/2006/relationships/hyperlink" Target="https://www.comune.reggioemilia.it/argomenti/attuazione-misure-pnrr/progetti-stralciati-dal-pnrr/pnrr-m5c2-i2-1-riqualificazione-e-rigenerazione-urbana-del-quadrante-nord-est-del-centro-storico-di-reggio-2013-sottopasso-ciclopedonale-alla-ferrovia-storica-milano-bologna" TargetMode="External"/><Relationship Id="rId24" Type="http://schemas.openxmlformats.org/officeDocument/2006/relationships/hyperlink" Target="https://www.comune.reggioemilia.it/argomenti/mobilita" TargetMode="External"/><Relationship Id="rId32" Type="http://schemas.openxmlformats.org/officeDocument/2006/relationships/hyperlink" Target="https://www.reteimprese.it/" TargetMode="External"/><Relationship Id="rId37" Type="http://schemas.openxmlformats.org/officeDocument/2006/relationships/hyperlink" Target="https://www.mappepercorsi.it/genova-montecavolo-pianificatore-di-itinerario-google-google-map/" TargetMode="External"/><Relationship Id="rId40" Type="http://schemas.openxmlformats.org/officeDocument/2006/relationships/hyperlink" Target="https://www.comune.reggioemilia.it/" TargetMode="External"/><Relationship Id="rId45" Type="http://schemas.openxmlformats.org/officeDocument/2006/relationships/hyperlink" Target="https://www.comune.reggioemilia.it/" TargetMode="External"/><Relationship Id="rId53" Type="http://schemas.openxmlformats.org/officeDocument/2006/relationships/hyperlink" Target="https://www.comune.reggioemilia.it/" TargetMode="External"/><Relationship Id="rId58" Type="http://schemas.openxmlformats.org/officeDocument/2006/relationships/hyperlink" Target="https://www.comune.reggioemilia.it/" TargetMode="External"/><Relationship Id="rId5" Type="http://schemas.openxmlformats.org/officeDocument/2006/relationships/hyperlink" Target="https://distanzechilometriche.net/mappa/reggio-nell-emilia/via-don-giovanni-verita/" TargetMode="External"/><Relationship Id="rId61" Type="http://schemas.openxmlformats.org/officeDocument/2006/relationships/hyperlink" Target="https://www.reteimprese.it/" TargetMode="External"/><Relationship Id="rId19" Type="http://schemas.openxmlformats.org/officeDocument/2006/relationships/hyperlink" Target="https://www.comune.reggioemilia.it/argomenti/mobilita/progetti/reggio-emilia-citta-dei-sentieri/i-sentieri/anello-alex-langer/documenti-allegati/punti-di-interesse.pdf" TargetMode="External"/><Relationship Id="rId14" Type="http://schemas.openxmlformats.org/officeDocument/2006/relationships/hyperlink" Target="https://www.comune.reggioemilia.it/argomenti/istituzione-scuole-e-nidi-dinfanzia" TargetMode="External"/><Relationship Id="rId22" Type="http://schemas.openxmlformats.org/officeDocument/2006/relationships/hyperlink" Target="https://www.comune.reggioemilia.it/argomenti/mobilita" TargetMode="External"/><Relationship Id="rId27" Type="http://schemas.openxmlformats.org/officeDocument/2006/relationships/hyperlink" Target="https://www.italiamappe.it/stradario/reggio-nell%27emilia/via-john-fitzgerald-kennedy/" TargetMode="External"/><Relationship Id="rId30" Type="http://schemas.openxmlformats.org/officeDocument/2006/relationships/hyperlink" Target="https://www.italiamappe.it/stradario/reggio-nell%27emilia/" TargetMode="External"/><Relationship Id="rId35" Type="http://schemas.openxmlformats.org/officeDocument/2006/relationships/hyperlink" Target="https://www.mappepercorsi.it/genova-montecavolo-pianificatore-di-itinerario-google-google-map/" TargetMode="External"/><Relationship Id="rId43" Type="http://schemas.openxmlformats.org/officeDocument/2006/relationships/hyperlink" Target="https://www.comune.reggioemilia.it/" TargetMode="External"/><Relationship Id="rId48" Type="http://schemas.openxmlformats.org/officeDocument/2006/relationships/hyperlink" Target="https://www.comune.reggioemilia.it/" TargetMode="External"/><Relationship Id="rId56" Type="http://schemas.openxmlformats.org/officeDocument/2006/relationships/hyperlink" Target="https://www.comune.reggioemilia.it/" TargetMode="External"/><Relationship Id="rId64" Type="http://schemas.openxmlformats.org/officeDocument/2006/relationships/hyperlink" Target="https://www.blia.it/in/96982-46178" TargetMode="External"/><Relationship Id="rId8" Type="http://schemas.openxmlformats.org/officeDocument/2006/relationships/hyperlink" Target="https://www.italiamappe.it/stradario/reggio-nell%27emilia/" TargetMode="External"/><Relationship Id="rId51" Type="http://schemas.openxmlformats.org/officeDocument/2006/relationships/hyperlink" Target="https://www.comune.reggioemilia.it/" TargetMode="External"/><Relationship Id="rId3" Type="http://schemas.openxmlformats.org/officeDocument/2006/relationships/hyperlink" Target="https://mapcarta.com/search?q=Ponte%20del%20Gattaglio%20Reggio%20Emilia" TargetMode="External"/><Relationship Id="rId12" Type="http://schemas.openxmlformats.org/officeDocument/2006/relationships/hyperlink" Target="https://www.wikidata.org/wiki/Special:Search?search=Reggio%20Emilia%20San%20Lazzaro%20station" TargetMode="External"/><Relationship Id="rId17" Type="http://schemas.openxmlformats.org/officeDocument/2006/relationships/hyperlink" Target="https://www.comune.reggioemilia.it/argomenti/istituzione-scuole-e-nidi-dinfanzia/nidi-scuole/rivieri" TargetMode="External"/><Relationship Id="rId25" Type="http://schemas.openxmlformats.org/officeDocument/2006/relationships/hyperlink" Target="https://www.comune.reggioemilia.it/amministrazione/documenti-e-dati/avvisi-e-bandi/bandi-di-gara-e-contratti-profilo-di-committente/stazione-appaltante-comune-di-reggio-emilia/lavori/pnrr-m5c2-i1-2-realizzazione-di-abitazioni-immobile-sito-in-via-mazzini-6-e-via-brigata-reggio-cig" TargetMode="External"/><Relationship Id="rId33" Type="http://schemas.openxmlformats.org/officeDocument/2006/relationships/hyperlink" Target="https://www.blia.it/" TargetMode="External"/><Relationship Id="rId38" Type="http://schemas.openxmlformats.org/officeDocument/2006/relationships/hyperlink" Target="https://www.italiamappe.it/stradario/reggio-nell%27emilia/" TargetMode="External"/><Relationship Id="rId46" Type="http://schemas.openxmlformats.org/officeDocument/2006/relationships/hyperlink" Target="https://www.comune.reggioemilia.it/" TargetMode="External"/><Relationship Id="rId59" Type="http://schemas.openxmlformats.org/officeDocument/2006/relationships/hyperlink" Target="https://www.comune.reggioemilia.it/" TargetMode="External"/><Relationship Id="rId20" Type="http://schemas.openxmlformats.org/officeDocument/2006/relationships/hyperlink" Target="https://www.italiamappe.it/stradario/reggio-nell%27emilia/" TargetMode="External"/><Relationship Id="rId41" Type="http://schemas.openxmlformats.org/officeDocument/2006/relationships/hyperlink" Target="https://censimentoarchitetturecontemporanee.cultura.gov.it/" TargetMode="External"/><Relationship Id="rId54" Type="http://schemas.openxmlformats.org/officeDocument/2006/relationships/hyperlink" Target="https://www.comune.reggioemilia.it/" TargetMode="External"/><Relationship Id="rId62" Type="http://schemas.openxmlformats.org/officeDocument/2006/relationships/hyperlink" Target="https://www.distancesfrom.com/it/Piazzale-Europa-latitude-longitude-Piazzale-Europa-latitude-Piazzale-Europa-longitude/LatLongHistory/14034637.aspx" TargetMode="External"/><Relationship Id="rId1" Type="http://schemas.openxmlformats.org/officeDocument/2006/relationships/hyperlink" Target="https://www.zampaconnect.com/area-cani/reggio-emilia/parco_del_gelso_42124_reggio_nellemilia_re" TargetMode="External"/><Relationship Id="rId6" Type="http://schemas.openxmlformats.org/officeDocument/2006/relationships/hyperlink" Target="https://distanzechilometriche.net/mappa/reggio-nell-emilia/piazza-della-vittoria/" TargetMode="External"/><Relationship Id="rId15" Type="http://schemas.openxmlformats.org/officeDocument/2006/relationships/hyperlink" Target="https://www.comune.reggioemilia.it/argomenti/istituzione-scuole-e-nidi-dinfanzia/nidi-dinfanzia/nidi-comunali-e-convenzionati/peterpan" TargetMode="External"/><Relationship Id="rId23" Type="http://schemas.openxmlformats.org/officeDocument/2006/relationships/hyperlink" Target="https://www.italiamappe.it/stradario/reggio-nell%27emilia/" TargetMode="External"/><Relationship Id="rId28" Type="http://schemas.openxmlformats.org/officeDocument/2006/relationships/hyperlink" Target="https://cultura.gov.it/luogo/palazzo-dei-musei-reggio-emilia" TargetMode="External"/><Relationship Id="rId36" Type="http://schemas.openxmlformats.org/officeDocument/2006/relationships/hyperlink" Target="https://www.mappepercorsi.it/genova-montecavolo-pianificatore-di-itinerario-google-google-map/" TargetMode="External"/><Relationship Id="rId49" Type="http://schemas.openxmlformats.org/officeDocument/2006/relationships/hyperlink" Target="https://www.comune.reggioemilia.it/" TargetMode="External"/><Relationship Id="rId57" Type="http://schemas.openxmlformats.org/officeDocument/2006/relationships/hyperlink" Target="https://www.comune.reggioemilia.it/" TargetMode="External"/><Relationship Id="rId10" Type="http://schemas.openxmlformats.org/officeDocument/2006/relationships/hyperlink" Target="https://www.comune.reggioemilia.it/argomenti/attuazione-misure-pnrr" TargetMode="External"/><Relationship Id="rId31" Type="http://schemas.openxmlformats.org/officeDocument/2006/relationships/hyperlink" Target="https://www.provincia.re.it/" TargetMode="External"/><Relationship Id="rId44" Type="http://schemas.openxmlformats.org/officeDocument/2006/relationships/hyperlink" Target="https://www.comune.reggioemilia.it/" TargetMode="External"/><Relationship Id="rId52" Type="http://schemas.openxmlformats.org/officeDocument/2006/relationships/hyperlink" Target="https://www.comune.reggioemilia.it/" TargetMode="External"/><Relationship Id="rId60" Type="http://schemas.openxmlformats.org/officeDocument/2006/relationships/hyperlink" Target="https://www.comune.reggioemilia.it/" TargetMode="External"/><Relationship Id="rId65" Type="http://schemas.openxmlformats.org/officeDocument/2006/relationships/hyperlink" Target="https://www.italiamappe.it/stradario/reggio-nell%27emilia/via-john-fitzgerald-kennedy/" TargetMode="External"/><Relationship Id="rId4" Type="http://schemas.openxmlformats.org/officeDocument/2006/relationships/hyperlink" Target="https://mapcarta.com/18708310" TargetMode="External"/><Relationship Id="rId9" Type="http://schemas.openxmlformats.org/officeDocument/2006/relationships/hyperlink" Target="https://www.italiamappe.it/stradario/reggio-nell%27emilia/" TargetMode="External"/><Relationship Id="rId13" Type="http://schemas.openxmlformats.org/officeDocument/2006/relationships/hyperlink" Target="https://www.italiamappe.it/stradario/reggio-nell%27emilia/" TargetMode="External"/><Relationship Id="rId18" Type="http://schemas.openxmlformats.org/officeDocument/2006/relationships/hyperlink" Target="https://censimentoarchitetturecontemporanee.cultura.gov.it/scheda-opera?id=4862" TargetMode="External"/><Relationship Id="rId39" Type="http://schemas.openxmlformats.org/officeDocument/2006/relationships/hyperlink" Target="https://www.slideshare.net/slideshow/cre02-presentazione-sia-rp-rev-b/401945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8D89-D542-491B-8E19-645AAA6DAC4B}">
  <dimension ref="A1:AMX65526"/>
  <sheetViews>
    <sheetView tabSelected="1" topLeftCell="C1" zoomScaleNormal="100" workbookViewId="0">
      <pane ySplit="1" topLeftCell="A21" activePane="bottomLeft" state="frozen"/>
      <selection pane="bottomLeft" activeCell="D28" sqref="D28"/>
    </sheetView>
  </sheetViews>
  <sheetFormatPr defaultColWidth="11.44140625" defaultRowHeight="14.7" customHeight="1" outlineLevelCol="1" x14ac:dyDescent="0.25"/>
  <cols>
    <col min="1" max="1" width="12.109375" style="1" customWidth="1"/>
    <col min="2" max="2" width="24.6640625" customWidth="1"/>
    <col min="3" max="3" width="66.6640625" customWidth="1"/>
    <col min="4" max="4" width="18.44140625" customWidth="1"/>
    <col min="5" max="5" width="18.44140625" hidden="1" customWidth="1" outlineLevel="1"/>
    <col min="6" max="6" width="28.88671875" customWidth="1" collapsed="1"/>
    <col min="7" max="7" width="45.5546875" customWidth="1"/>
    <col min="8" max="8" width="28.88671875" customWidth="1"/>
    <col min="9" max="9" width="80.109375" style="2" bestFit="1" customWidth="1"/>
    <col min="10" max="10" width="20" bestFit="1" customWidth="1"/>
    <col min="11" max="11" width="22" bestFit="1" customWidth="1"/>
    <col min="12" max="13" width="19" customWidth="1"/>
    <col min="14" max="14" width="27.109375" bestFit="1" customWidth="1"/>
    <col min="15" max="15" width="20.6640625" customWidth="1"/>
    <col min="16" max="16" width="33" customWidth="1"/>
    <col min="17" max="17" width="19.33203125" customWidth="1"/>
    <col min="18" max="18" width="25.44140625" hidden="1" customWidth="1" outlineLevel="1"/>
    <col min="19" max="20" width="18.44140625" hidden="1" customWidth="1" outlineLevel="1"/>
    <col min="21" max="21" width="21" hidden="1" customWidth="1" outlineLevel="1"/>
    <col min="22" max="22" width="11.44140625" collapsed="1"/>
  </cols>
  <sheetData>
    <row r="1" spans="1:21" ht="30" customHeight="1" x14ac:dyDescent="0.25">
      <c r="A1" s="15" t="s">
        <v>328</v>
      </c>
      <c r="B1" s="15" t="s">
        <v>315</v>
      </c>
      <c r="C1" s="15" t="s">
        <v>0</v>
      </c>
      <c r="D1" s="15" t="s">
        <v>1</v>
      </c>
      <c r="E1" s="15" t="s">
        <v>2</v>
      </c>
      <c r="F1" s="15" t="s">
        <v>2</v>
      </c>
      <c r="G1" s="15" t="s">
        <v>327</v>
      </c>
      <c r="H1" s="15" t="s">
        <v>329</v>
      </c>
      <c r="I1" s="15" t="s">
        <v>3</v>
      </c>
      <c r="J1" s="15" t="s">
        <v>325</v>
      </c>
      <c r="K1" s="15" t="s">
        <v>326</v>
      </c>
      <c r="L1" s="15" t="s">
        <v>524</v>
      </c>
      <c r="M1" s="15" t="s">
        <v>525</v>
      </c>
      <c r="N1" s="15" t="s">
        <v>4</v>
      </c>
      <c r="O1" s="15" t="s">
        <v>5</v>
      </c>
      <c r="P1" s="15" t="s">
        <v>6</v>
      </c>
      <c r="Q1" s="15" t="s">
        <v>7</v>
      </c>
      <c r="R1" s="15" t="s">
        <v>8</v>
      </c>
      <c r="S1" s="15" t="s">
        <v>9</v>
      </c>
      <c r="T1" s="15" t="s">
        <v>10</v>
      </c>
      <c r="U1" s="15" t="s">
        <v>11</v>
      </c>
    </row>
    <row r="2" spans="1:21" ht="12.75" customHeight="1" x14ac:dyDescent="0.5">
      <c r="A2" s="16"/>
      <c r="B2" s="199" t="s">
        <v>12</v>
      </c>
      <c r="C2" s="199"/>
      <c r="D2" s="199"/>
      <c r="E2" s="199"/>
      <c r="F2" s="199"/>
      <c r="G2" s="199"/>
      <c r="H2" s="199"/>
      <c r="I2" s="199"/>
      <c r="J2" s="199"/>
      <c r="K2" s="199"/>
      <c r="L2" s="205"/>
      <c r="M2" s="205"/>
      <c r="N2" s="199"/>
      <c r="O2" s="199"/>
      <c r="P2" s="199"/>
      <c r="Q2" s="199"/>
      <c r="R2" s="199"/>
      <c r="S2" s="199"/>
      <c r="T2" s="199"/>
      <c r="U2" s="199"/>
    </row>
    <row r="3" spans="1:21" ht="34.799999999999997" x14ac:dyDescent="0.5">
      <c r="A3" s="17">
        <v>1</v>
      </c>
      <c r="B3" s="18" t="s">
        <v>316</v>
      </c>
      <c r="C3" s="19" t="s">
        <v>13</v>
      </c>
      <c r="D3" s="20" t="s">
        <v>14</v>
      </c>
      <c r="E3" s="20" t="s">
        <v>15</v>
      </c>
      <c r="F3" s="20" t="s">
        <v>15</v>
      </c>
      <c r="G3" s="63">
        <v>100</v>
      </c>
      <c r="H3" s="64">
        <v>46203</v>
      </c>
      <c r="I3" s="21" t="s">
        <v>16</v>
      </c>
      <c r="J3" s="22">
        <v>44.704287999999998</v>
      </c>
      <c r="K3" s="149">
        <v>10.6244</v>
      </c>
      <c r="L3" s="22"/>
      <c r="M3" s="22"/>
      <c r="N3" s="60">
        <v>1600000</v>
      </c>
      <c r="O3" s="23">
        <f t="shared" ref="O3:O17" si="0">N3-P3-Q3</f>
        <v>440000</v>
      </c>
      <c r="P3" s="23">
        <v>1160000</v>
      </c>
      <c r="Q3" s="23">
        <v>0</v>
      </c>
      <c r="R3" s="23">
        <v>1600000</v>
      </c>
      <c r="S3" s="23">
        <f>N3-R3</f>
        <v>0</v>
      </c>
      <c r="T3" s="23">
        <v>1256598.07</v>
      </c>
      <c r="U3" s="23">
        <v>904487.69</v>
      </c>
    </row>
    <row r="4" spans="1:21" ht="52.2" x14ac:dyDescent="0.5">
      <c r="A4" s="17">
        <v>2</v>
      </c>
      <c r="B4" s="18" t="s">
        <v>316</v>
      </c>
      <c r="C4" s="19" t="s">
        <v>17</v>
      </c>
      <c r="D4" s="20" t="s">
        <v>18</v>
      </c>
      <c r="E4" s="20" t="s">
        <v>19</v>
      </c>
      <c r="F4" s="20" t="s">
        <v>19</v>
      </c>
      <c r="G4" s="63">
        <v>100</v>
      </c>
      <c r="H4" s="64">
        <v>46203</v>
      </c>
      <c r="I4" s="21" t="s">
        <v>20</v>
      </c>
      <c r="J4" s="22">
        <v>44.700271999999998</v>
      </c>
      <c r="K4" s="149">
        <v>10.6332</v>
      </c>
      <c r="L4" s="22"/>
      <c r="M4" s="22"/>
      <c r="N4" s="60">
        <v>300000</v>
      </c>
      <c r="O4" s="23">
        <f t="shared" si="0"/>
        <v>10000</v>
      </c>
      <c r="P4" s="23">
        <v>290000</v>
      </c>
      <c r="Q4" s="23">
        <v>0</v>
      </c>
      <c r="R4" s="23">
        <v>258422.09</v>
      </c>
      <c r="S4" s="24">
        <v>41577.910000000003</v>
      </c>
      <c r="T4" s="23">
        <v>253925.38</v>
      </c>
      <c r="U4" s="23">
        <v>245461.21</v>
      </c>
    </row>
    <row r="5" spans="1:21" ht="52.2" x14ac:dyDescent="0.5">
      <c r="A5" s="17">
        <v>3</v>
      </c>
      <c r="B5" s="18" t="s">
        <v>316</v>
      </c>
      <c r="C5" s="19" t="s">
        <v>21</v>
      </c>
      <c r="D5" s="20" t="s">
        <v>22</v>
      </c>
      <c r="E5" s="20" t="s">
        <v>23</v>
      </c>
      <c r="F5" s="20" t="s">
        <v>15</v>
      </c>
      <c r="G5" s="63">
        <v>100</v>
      </c>
      <c r="H5" s="64">
        <v>46203</v>
      </c>
      <c r="I5" s="21" t="s">
        <v>24</v>
      </c>
      <c r="J5" s="22">
        <v>44.698425100000001</v>
      </c>
      <c r="K5" s="149">
        <v>10.606671800000001</v>
      </c>
      <c r="L5" s="22"/>
      <c r="M5" s="22"/>
      <c r="N5" s="60">
        <v>950000</v>
      </c>
      <c r="O5" s="23">
        <f t="shared" si="0"/>
        <v>30000</v>
      </c>
      <c r="P5" s="23">
        <v>920000</v>
      </c>
      <c r="Q5" s="23">
        <v>0</v>
      </c>
      <c r="R5" s="23">
        <v>950000</v>
      </c>
      <c r="S5" s="23">
        <v>0</v>
      </c>
      <c r="T5" s="23">
        <v>939302.35</v>
      </c>
      <c r="U5" s="23">
        <v>909375.75</v>
      </c>
    </row>
    <row r="6" spans="1:21" ht="52.2" x14ac:dyDescent="0.5">
      <c r="A6" s="17">
        <v>4</v>
      </c>
      <c r="B6" s="18" t="s">
        <v>316</v>
      </c>
      <c r="C6" s="19" t="s">
        <v>25</v>
      </c>
      <c r="D6" s="20" t="s">
        <v>26</v>
      </c>
      <c r="E6" s="20" t="s">
        <v>19</v>
      </c>
      <c r="F6" s="20" t="s">
        <v>19</v>
      </c>
      <c r="G6" s="63">
        <v>100</v>
      </c>
      <c r="H6" s="64">
        <v>46203</v>
      </c>
      <c r="I6" s="21" t="s">
        <v>20</v>
      </c>
      <c r="J6" s="22">
        <v>44.700271999999998</v>
      </c>
      <c r="K6" s="149">
        <v>10.6332</v>
      </c>
      <c r="L6" s="22"/>
      <c r="M6" s="22"/>
      <c r="N6" s="60">
        <v>350000</v>
      </c>
      <c r="O6" s="23">
        <f t="shared" si="0"/>
        <v>0</v>
      </c>
      <c r="P6" s="23">
        <v>350000</v>
      </c>
      <c r="Q6" s="23">
        <v>0</v>
      </c>
      <c r="R6" s="23">
        <v>270205.03000000003</v>
      </c>
      <c r="S6" s="24">
        <f>N6-R6</f>
        <v>79794.969999999972</v>
      </c>
      <c r="T6" s="23">
        <v>265367.53999999998</v>
      </c>
      <c r="U6" s="23">
        <v>265367.53999999998</v>
      </c>
    </row>
    <row r="7" spans="1:21" ht="48.15" customHeight="1" x14ac:dyDescent="0.5">
      <c r="A7" s="17">
        <v>5</v>
      </c>
      <c r="B7" s="25" t="s">
        <v>317</v>
      </c>
      <c r="C7" s="19" t="s">
        <v>27</v>
      </c>
      <c r="D7" s="20" t="s">
        <v>28</v>
      </c>
      <c r="E7" s="20" t="s">
        <v>29</v>
      </c>
      <c r="F7" s="20" t="s">
        <v>29</v>
      </c>
      <c r="G7" s="63">
        <v>100</v>
      </c>
      <c r="H7" s="64">
        <v>46203</v>
      </c>
      <c r="I7" s="26" t="s">
        <v>30</v>
      </c>
      <c r="J7" s="22">
        <v>44.698399999999999</v>
      </c>
      <c r="K7" s="149">
        <v>10.6098</v>
      </c>
      <c r="L7" s="22"/>
      <c r="M7" s="22"/>
      <c r="N7" s="60">
        <v>200000</v>
      </c>
      <c r="O7" s="23">
        <f t="shared" si="0"/>
        <v>10000</v>
      </c>
      <c r="P7" s="23">
        <v>190000</v>
      </c>
      <c r="Q7" s="23">
        <v>0</v>
      </c>
      <c r="R7" s="23">
        <v>195382.98</v>
      </c>
      <c r="S7" s="23">
        <v>4617.03</v>
      </c>
      <c r="T7" s="23">
        <v>195382.97</v>
      </c>
      <c r="U7" s="24">
        <v>188748.18</v>
      </c>
    </row>
    <row r="8" spans="1:21" ht="29.85" customHeight="1" x14ac:dyDescent="0.5">
      <c r="A8" s="17">
        <v>6</v>
      </c>
      <c r="B8" s="27" t="s">
        <v>317</v>
      </c>
      <c r="C8" s="19" t="s">
        <v>31</v>
      </c>
      <c r="D8" s="20" t="s">
        <v>32</v>
      </c>
      <c r="E8" s="20" t="s">
        <v>33</v>
      </c>
      <c r="F8" s="20" t="s">
        <v>33</v>
      </c>
      <c r="G8" s="63">
        <v>100</v>
      </c>
      <c r="H8" s="64">
        <v>46203</v>
      </c>
      <c r="I8" s="21" t="s">
        <v>34</v>
      </c>
      <c r="J8" s="22">
        <v>44.705928999999998</v>
      </c>
      <c r="K8" s="149">
        <v>10.632</v>
      </c>
      <c r="L8" s="22"/>
      <c r="M8" s="22"/>
      <c r="N8" s="60">
        <v>200000</v>
      </c>
      <c r="O8" s="23">
        <f t="shared" si="0"/>
        <v>20000</v>
      </c>
      <c r="P8" s="23">
        <v>180000</v>
      </c>
      <c r="Q8" s="23">
        <v>0</v>
      </c>
      <c r="R8" s="23">
        <v>188963.71</v>
      </c>
      <c r="S8" s="23">
        <v>11036.29</v>
      </c>
      <c r="T8" s="23">
        <v>188963.71</v>
      </c>
      <c r="U8" s="23">
        <v>176707.73</v>
      </c>
    </row>
    <row r="9" spans="1:21" ht="22.95" customHeight="1" x14ac:dyDescent="0.5">
      <c r="A9" s="17">
        <v>7</v>
      </c>
      <c r="B9" s="18" t="s">
        <v>316</v>
      </c>
      <c r="C9" s="19" t="s">
        <v>35</v>
      </c>
      <c r="D9" s="20" t="s">
        <v>36</v>
      </c>
      <c r="E9" s="20" t="s">
        <v>37</v>
      </c>
      <c r="F9" s="20" t="s">
        <v>37</v>
      </c>
      <c r="G9" s="63">
        <v>100</v>
      </c>
      <c r="H9" s="64">
        <v>46203</v>
      </c>
      <c r="I9" s="21" t="s">
        <v>38</v>
      </c>
      <c r="J9" s="22">
        <v>44.701500000000003</v>
      </c>
      <c r="K9" s="149">
        <v>10.634600000000001</v>
      </c>
      <c r="L9" s="22"/>
      <c r="M9" s="22"/>
      <c r="N9" s="60">
        <v>600000</v>
      </c>
      <c r="O9" s="23">
        <f t="shared" si="0"/>
        <v>100000</v>
      </c>
      <c r="P9" s="23">
        <v>500000</v>
      </c>
      <c r="Q9" s="23">
        <v>0</v>
      </c>
      <c r="R9" s="23">
        <v>594856.36</v>
      </c>
      <c r="S9" s="23">
        <f t="shared" ref="S9:S10" si="1">N9-R9</f>
        <v>5143.640000000014</v>
      </c>
      <c r="T9" s="23">
        <v>574269.06000000006</v>
      </c>
      <c r="U9" s="23">
        <v>478235.78</v>
      </c>
    </row>
    <row r="10" spans="1:21" ht="28.95" customHeight="1" x14ac:dyDescent="0.5">
      <c r="A10" s="17">
        <v>8</v>
      </c>
      <c r="B10" s="28" t="s">
        <v>318</v>
      </c>
      <c r="C10" s="19" t="s">
        <v>39</v>
      </c>
      <c r="D10" s="20" t="s">
        <v>40</v>
      </c>
      <c r="E10" s="20" t="s">
        <v>41</v>
      </c>
      <c r="F10" s="20" t="s">
        <v>41</v>
      </c>
      <c r="G10" s="63">
        <v>100</v>
      </c>
      <c r="H10" s="64">
        <v>46203</v>
      </c>
      <c r="I10" s="21" t="s">
        <v>42</v>
      </c>
      <c r="J10" s="22">
        <v>44.692202999999999</v>
      </c>
      <c r="K10" s="149">
        <v>10.642396</v>
      </c>
      <c r="L10" s="22"/>
      <c r="M10" s="22"/>
      <c r="N10" s="60">
        <v>1805000</v>
      </c>
      <c r="O10" s="23">
        <f t="shared" si="0"/>
        <v>905000</v>
      </c>
      <c r="P10" s="23">
        <v>900000</v>
      </c>
      <c r="Q10" s="23">
        <v>0</v>
      </c>
      <c r="R10" s="23">
        <v>1805000</v>
      </c>
      <c r="S10" s="23">
        <f t="shared" si="1"/>
        <v>0</v>
      </c>
      <c r="T10" s="23">
        <v>1519592.33</v>
      </c>
      <c r="U10" s="23">
        <v>768227.19</v>
      </c>
    </row>
    <row r="11" spans="1:21" ht="42.9" customHeight="1" x14ac:dyDescent="0.5">
      <c r="A11" s="17">
        <v>9</v>
      </c>
      <c r="B11" s="28" t="s">
        <v>318</v>
      </c>
      <c r="C11" s="19" t="s">
        <v>43</v>
      </c>
      <c r="D11" s="20" t="s">
        <v>44</v>
      </c>
      <c r="E11" s="20" t="s">
        <v>45</v>
      </c>
      <c r="F11" s="20" t="s">
        <v>45</v>
      </c>
      <c r="G11" s="63">
        <v>100</v>
      </c>
      <c r="H11" s="64">
        <v>46203</v>
      </c>
      <c r="I11" s="21" t="s">
        <v>46</v>
      </c>
      <c r="J11" s="22">
        <v>44.695050000000002</v>
      </c>
      <c r="K11" s="149">
        <v>10.61947</v>
      </c>
      <c r="L11" s="22"/>
      <c r="M11" s="22"/>
      <c r="N11" s="60">
        <v>1192000</v>
      </c>
      <c r="O11" s="23">
        <f t="shared" si="0"/>
        <v>246000</v>
      </c>
      <c r="P11" s="23">
        <v>860000</v>
      </c>
      <c r="Q11" s="23">
        <v>86000</v>
      </c>
      <c r="R11" s="23">
        <v>1192000</v>
      </c>
      <c r="S11" s="23">
        <v>0</v>
      </c>
      <c r="T11" s="23">
        <v>1192000</v>
      </c>
      <c r="U11" s="23">
        <v>946000</v>
      </c>
    </row>
    <row r="12" spans="1:21" ht="85.2" customHeight="1" x14ac:dyDescent="0.5">
      <c r="A12" s="17">
        <v>10</v>
      </c>
      <c r="B12" s="28" t="s">
        <v>318</v>
      </c>
      <c r="C12" s="19" t="s">
        <v>336</v>
      </c>
      <c r="D12" s="20" t="s">
        <v>48</v>
      </c>
      <c r="E12" s="20" t="s">
        <v>37</v>
      </c>
      <c r="F12" s="20" t="s">
        <v>37</v>
      </c>
      <c r="G12" s="63">
        <v>100</v>
      </c>
      <c r="H12" s="64">
        <v>46203</v>
      </c>
      <c r="I12" s="38" t="s">
        <v>49</v>
      </c>
      <c r="J12" s="39">
        <v>44.735999999999997</v>
      </c>
      <c r="K12" s="150">
        <v>10.5261</v>
      </c>
      <c r="L12" s="39">
        <v>44.721715600000003</v>
      </c>
      <c r="M12" s="39">
        <v>10.533796600000001</v>
      </c>
      <c r="N12" s="60">
        <v>2640000</v>
      </c>
      <c r="O12" s="23">
        <f t="shared" si="0"/>
        <v>0</v>
      </c>
      <c r="P12" s="23">
        <v>2400000</v>
      </c>
      <c r="Q12" s="23">
        <v>240000</v>
      </c>
      <c r="R12" s="29">
        <v>2640000</v>
      </c>
      <c r="S12" s="29">
        <v>0</v>
      </c>
      <c r="T12" s="29">
        <v>2618157.59</v>
      </c>
      <c r="U12" s="29">
        <v>2618157.59</v>
      </c>
    </row>
    <row r="13" spans="1:21" ht="30.6" customHeight="1" x14ac:dyDescent="0.5">
      <c r="A13" s="17">
        <v>11</v>
      </c>
      <c r="B13" s="28" t="s">
        <v>318</v>
      </c>
      <c r="C13" s="19" t="s">
        <v>50</v>
      </c>
      <c r="D13" s="20" t="s">
        <v>51</v>
      </c>
      <c r="E13" s="20" t="s">
        <v>37</v>
      </c>
      <c r="F13" s="20" t="s">
        <v>37</v>
      </c>
      <c r="G13" s="63">
        <v>100</v>
      </c>
      <c r="H13" s="64">
        <v>46203</v>
      </c>
      <c r="I13" s="38" t="s">
        <v>52</v>
      </c>
      <c r="J13" s="39">
        <v>44.714300000000001</v>
      </c>
      <c r="K13" s="150">
        <v>10.6105</v>
      </c>
      <c r="L13" s="39"/>
      <c r="M13" s="39"/>
      <c r="N13" s="60">
        <v>850000</v>
      </c>
      <c r="O13" s="23">
        <f t="shared" si="0"/>
        <v>0</v>
      </c>
      <c r="P13" s="23">
        <v>850000</v>
      </c>
      <c r="Q13" s="23">
        <v>0</v>
      </c>
      <c r="R13" s="29">
        <v>850000</v>
      </c>
      <c r="S13" s="30">
        <v>0</v>
      </c>
      <c r="T13" s="30">
        <v>830181.43</v>
      </c>
      <c r="U13" s="29">
        <v>830181.43</v>
      </c>
    </row>
    <row r="14" spans="1:21" ht="47.4" customHeight="1" x14ac:dyDescent="0.5">
      <c r="A14" s="17">
        <v>12</v>
      </c>
      <c r="B14" s="18" t="s">
        <v>316</v>
      </c>
      <c r="C14" s="19" t="s">
        <v>53</v>
      </c>
      <c r="D14" s="20" t="s">
        <v>54</v>
      </c>
      <c r="E14" s="20" t="s">
        <v>37</v>
      </c>
      <c r="F14" s="20" t="s">
        <v>37</v>
      </c>
      <c r="G14" s="63">
        <v>100</v>
      </c>
      <c r="H14" s="64">
        <v>46203</v>
      </c>
      <c r="I14" s="21" t="s">
        <v>55</v>
      </c>
      <c r="J14" s="22">
        <v>44.699109999999997</v>
      </c>
      <c r="K14" s="149">
        <v>10.63659</v>
      </c>
      <c r="L14" s="22"/>
      <c r="M14" s="22"/>
      <c r="N14" s="60">
        <v>30000</v>
      </c>
      <c r="O14" s="23">
        <f t="shared" si="0"/>
        <v>0</v>
      </c>
      <c r="P14" s="23">
        <v>30000</v>
      </c>
      <c r="Q14" s="23">
        <v>0</v>
      </c>
      <c r="R14" s="24">
        <v>29970.54</v>
      </c>
      <c r="S14" s="23">
        <f>N14-R14</f>
        <v>29.459999999999127</v>
      </c>
      <c r="T14" s="23">
        <v>28565.51</v>
      </c>
      <c r="U14" s="23">
        <v>28565.51</v>
      </c>
    </row>
    <row r="15" spans="1:21" ht="38.25" customHeight="1" x14ac:dyDescent="0.5">
      <c r="A15" s="17">
        <v>13</v>
      </c>
      <c r="B15" s="27" t="s">
        <v>317</v>
      </c>
      <c r="C15" s="174" t="s">
        <v>56</v>
      </c>
      <c r="D15" s="175" t="s">
        <v>57</v>
      </c>
      <c r="E15" s="175" t="s">
        <v>37</v>
      </c>
      <c r="F15" s="175" t="s">
        <v>37</v>
      </c>
      <c r="G15" s="176" t="s">
        <v>58</v>
      </c>
      <c r="H15" s="177" t="s">
        <v>58</v>
      </c>
      <c r="I15" s="175"/>
      <c r="J15" s="178"/>
      <c r="K15" s="179"/>
      <c r="L15" s="178"/>
      <c r="M15" s="178"/>
      <c r="N15" s="172">
        <v>80000</v>
      </c>
      <c r="O15" s="173">
        <f t="shared" si="0"/>
        <v>10000</v>
      </c>
      <c r="P15" s="173">
        <v>70000</v>
      </c>
      <c r="Q15" s="173">
        <v>0</v>
      </c>
      <c r="R15" s="31"/>
      <c r="S15" s="31"/>
      <c r="T15" s="31">
        <v>0</v>
      </c>
      <c r="U15" s="31">
        <v>0</v>
      </c>
    </row>
    <row r="16" spans="1:21" ht="23.85" customHeight="1" x14ac:dyDescent="0.5">
      <c r="A16" s="17">
        <v>14</v>
      </c>
      <c r="B16" s="32" t="s">
        <v>319</v>
      </c>
      <c r="C16" s="19" t="s">
        <v>59</v>
      </c>
      <c r="D16" s="20" t="s">
        <v>60</v>
      </c>
      <c r="E16" s="20" t="s">
        <v>45</v>
      </c>
      <c r="F16" s="20" t="s">
        <v>45</v>
      </c>
      <c r="G16" s="63">
        <v>100</v>
      </c>
      <c r="H16" s="64">
        <v>46203</v>
      </c>
      <c r="I16" s="21" t="s">
        <v>61</v>
      </c>
      <c r="J16" s="22">
        <v>44.681100000000001</v>
      </c>
      <c r="K16" s="149">
        <v>10.6052</v>
      </c>
      <c r="L16" s="22"/>
      <c r="M16" s="22"/>
      <c r="N16" s="60">
        <v>110000</v>
      </c>
      <c r="O16" s="23">
        <f t="shared" si="0"/>
        <v>0</v>
      </c>
      <c r="P16" s="23">
        <v>100000</v>
      </c>
      <c r="Q16" s="23">
        <v>10000</v>
      </c>
      <c r="R16" s="23">
        <v>110000</v>
      </c>
      <c r="S16" s="23">
        <v>0</v>
      </c>
      <c r="T16" s="23">
        <v>107185.21</v>
      </c>
      <c r="U16" s="23">
        <v>107185.21</v>
      </c>
    </row>
    <row r="17" spans="1:21" ht="37.35" customHeight="1" x14ac:dyDescent="0.5">
      <c r="A17" s="17"/>
      <c r="B17" s="33" t="s">
        <v>62</v>
      </c>
      <c r="C17" s="33"/>
      <c r="D17" s="33"/>
      <c r="E17" s="33"/>
      <c r="F17" s="33"/>
      <c r="G17" s="63"/>
      <c r="H17" s="65"/>
      <c r="I17" s="33"/>
      <c r="J17" s="34">
        <v>44.701500000000003</v>
      </c>
      <c r="K17" s="151">
        <v>10.634600000000001</v>
      </c>
      <c r="L17" s="96">
        <v>44.706470000000003</v>
      </c>
      <c r="M17" s="96">
        <v>10.638719999999999</v>
      </c>
      <c r="N17" s="162">
        <f>SUM(N3:N16)</f>
        <v>10907000</v>
      </c>
      <c r="O17" s="139">
        <f t="shared" si="0"/>
        <v>1771000</v>
      </c>
      <c r="P17" s="139">
        <f>SUM(P3:P16)</f>
        <v>8800000</v>
      </c>
      <c r="Q17" s="139">
        <f>SUM(Q3:Q16)</f>
        <v>336000</v>
      </c>
      <c r="R17" s="36"/>
      <c r="S17" s="36"/>
      <c r="T17" s="36">
        <f>SUM(T3:T16)</f>
        <v>9969491.1500000004</v>
      </c>
      <c r="U17" s="36">
        <f>SUM(U3:U16)</f>
        <v>8466700.8100000005</v>
      </c>
    </row>
    <row r="18" spans="1:21" ht="23.4" customHeight="1" x14ac:dyDescent="0.5">
      <c r="A18" s="17"/>
      <c r="B18" s="199" t="s">
        <v>63</v>
      </c>
      <c r="C18" s="199"/>
      <c r="D18" s="199"/>
      <c r="E18" s="199"/>
      <c r="F18" s="199"/>
      <c r="G18" s="200"/>
      <c r="H18" s="201"/>
      <c r="I18" s="199"/>
      <c r="J18" s="202"/>
      <c r="K18" s="203"/>
      <c r="L18" s="197"/>
      <c r="M18" s="197"/>
      <c r="N18" s="204"/>
      <c r="O18" s="202"/>
      <c r="P18" s="202"/>
      <c r="Q18" s="202"/>
      <c r="R18" s="202"/>
      <c r="S18" s="202"/>
      <c r="T18" s="202"/>
      <c r="U18" s="202"/>
    </row>
    <row r="19" spans="1:21" ht="36.9" customHeight="1" x14ac:dyDescent="0.5">
      <c r="A19" s="17">
        <v>15</v>
      </c>
      <c r="B19" s="18" t="s">
        <v>316</v>
      </c>
      <c r="C19" s="19" t="s">
        <v>64</v>
      </c>
      <c r="D19" s="20" t="s">
        <v>65</v>
      </c>
      <c r="E19" s="20" t="s">
        <v>66</v>
      </c>
      <c r="F19" s="20" t="s">
        <v>66</v>
      </c>
      <c r="G19" s="63">
        <v>100</v>
      </c>
      <c r="H19" s="65" t="s">
        <v>68</v>
      </c>
      <c r="I19" s="21" t="s">
        <v>67</v>
      </c>
      <c r="J19" s="22">
        <v>44.686399999999999</v>
      </c>
      <c r="K19" s="149">
        <v>10.6144</v>
      </c>
      <c r="L19" s="22"/>
      <c r="M19" s="22"/>
      <c r="N19" s="61">
        <v>258994.24</v>
      </c>
      <c r="O19" s="23">
        <f t="shared" ref="O19:O23" si="2">N19-P19-Q19</f>
        <v>68994.239999999991</v>
      </c>
      <c r="P19" s="23">
        <v>190000</v>
      </c>
      <c r="Q19" s="23">
        <v>0</v>
      </c>
      <c r="R19" s="23">
        <v>214988.48</v>
      </c>
      <c r="S19" s="37">
        <v>4005.76</v>
      </c>
      <c r="T19" s="23">
        <v>121554.46</v>
      </c>
      <c r="U19" s="23">
        <v>117650.46</v>
      </c>
    </row>
    <row r="20" spans="1:21" ht="54.45" customHeight="1" x14ac:dyDescent="0.5">
      <c r="A20" s="17">
        <v>16</v>
      </c>
      <c r="B20" s="28" t="s">
        <v>318</v>
      </c>
      <c r="C20" s="19" t="s">
        <v>69</v>
      </c>
      <c r="D20" s="20" t="s">
        <v>70</v>
      </c>
      <c r="E20" s="20" t="s">
        <v>71</v>
      </c>
      <c r="F20" s="20" t="s">
        <v>71</v>
      </c>
      <c r="G20" s="63"/>
      <c r="H20" s="65" t="s">
        <v>68</v>
      </c>
      <c r="I20" s="21" t="s">
        <v>72</v>
      </c>
      <c r="J20" s="22">
        <v>44.688800000000001</v>
      </c>
      <c r="K20" s="149">
        <v>10.651199999999999</v>
      </c>
      <c r="L20" s="22"/>
      <c r="M20" s="22"/>
      <c r="N20" s="61">
        <v>1790000</v>
      </c>
      <c r="O20" s="23">
        <f t="shared" si="2"/>
        <v>740000</v>
      </c>
      <c r="P20" s="23">
        <v>1050000</v>
      </c>
      <c r="Q20" s="23">
        <v>0</v>
      </c>
      <c r="R20" s="23">
        <v>276485.44</v>
      </c>
      <c r="S20" s="23" t="s">
        <v>73</v>
      </c>
      <c r="T20" s="23">
        <v>165897.97</v>
      </c>
      <c r="U20" s="23">
        <v>70996.639999999999</v>
      </c>
    </row>
    <row r="21" spans="1:21" ht="36.9" customHeight="1" x14ac:dyDescent="0.5">
      <c r="A21" s="17">
        <v>17</v>
      </c>
      <c r="B21" s="28" t="s">
        <v>318</v>
      </c>
      <c r="C21" s="19" t="s">
        <v>74</v>
      </c>
      <c r="D21" s="20" t="s">
        <v>75</v>
      </c>
      <c r="E21" s="20" t="s">
        <v>37</v>
      </c>
      <c r="F21" s="20" t="s">
        <v>37</v>
      </c>
      <c r="G21" s="63"/>
      <c r="H21" s="65" t="s">
        <v>68</v>
      </c>
      <c r="I21" s="21" t="s">
        <v>76</v>
      </c>
      <c r="J21" s="22">
        <v>44.704799999999999</v>
      </c>
      <c r="K21" s="149">
        <v>10.637499999999999</v>
      </c>
      <c r="L21" s="22"/>
      <c r="M21" s="22"/>
      <c r="N21" s="61">
        <v>12299000</v>
      </c>
      <c r="O21" s="23">
        <f t="shared" si="2"/>
        <v>4511000</v>
      </c>
      <c r="P21" s="23">
        <v>7080000</v>
      </c>
      <c r="Q21" s="23">
        <v>708000</v>
      </c>
      <c r="R21" s="23">
        <v>8931974.9600000009</v>
      </c>
      <c r="S21" s="23" t="s">
        <v>77</v>
      </c>
      <c r="T21" s="23">
        <v>3437192.51</v>
      </c>
      <c r="U21" s="23">
        <v>2654311.2999999998</v>
      </c>
    </row>
    <row r="22" spans="1:21" ht="93" customHeight="1" x14ac:dyDescent="0.5">
      <c r="A22" s="17">
        <v>18</v>
      </c>
      <c r="B22" s="28" t="s">
        <v>318</v>
      </c>
      <c r="C22" s="19" t="s">
        <v>78</v>
      </c>
      <c r="D22" s="20" t="s">
        <v>79</v>
      </c>
      <c r="E22" s="20" t="s">
        <v>45</v>
      </c>
      <c r="F22" s="20" t="s">
        <v>45</v>
      </c>
      <c r="G22" s="63"/>
      <c r="H22" s="65" t="s">
        <v>68</v>
      </c>
      <c r="I22" s="38" t="s">
        <v>80</v>
      </c>
      <c r="J22" s="22">
        <v>44.69</v>
      </c>
      <c r="K22" s="149">
        <v>10.665100000000001</v>
      </c>
      <c r="L22" s="22"/>
      <c r="M22" s="22"/>
      <c r="N22" s="60">
        <v>4296000</v>
      </c>
      <c r="O22" s="23">
        <f t="shared" si="2"/>
        <v>1128000</v>
      </c>
      <c r="P22" s="23">
        <v>2880000</v>
      </c>
      <c r="Q22" s="23">
        <v>288000</v>
      </c>
      <c r="R22" s="23">
        <v>3701150.61</v>
      </c>
      <c r="S22" s="23"/>
      <c r="T22" s="23">
        <v>153640.16</v>
      </c>
      <c r="U22" s="23">
        <v>68825.759999999995</v>
      </c>
    </row>
    <row r="23" spans="1:21" ht="27.6" customHeight="1" x14ac:dyDescent="0.5">
      <c r="A23" s="17"/>
      <c r="B23" s="33" t="s">
        <v>62</v>
      </c>
      <c r="C23" s="33"/>
      <c r="D23" s="20"/>
      <c r="E23" s="20"/>
      <c r="F23" s="20"/>
      <c r="G23" s="63"/>
      <c r="H23" s="65"/>
      <c r="I23" s="20"/>
      <c r="J23" s="39"/>
      <c r="K23" s="150"/>
      <c r="L23" s="39"/>
      <c r="M23" s="39"/>
      <c r="N23" s="62">
        <f>SUM(N19:N22)</f>
        <v>18643994.240000002</v>
      </c>
      <c r="O23" s="36">
        <f t="shared" si="2"/>
        <v>6447994.2400000021</v>
      </c>
      <c r="P23" s="36">
        <f>SUM(P19:P22)</f>
        <v>11200000</v>
      </c>
      <c r="Q23" s="36">
        <f>SUM(Q19:Q22)</f>
        <v>996000</v>
      </c>
      <c r="R23" s="36"/>
      <c r="S23" s="36"/>
      <c r="T23" s="36">
        <f>SUM(T19:T22)</f>
        <v>3878285.1</v>
      </c>
      <c r="U23" s="36">
        <f>SUM(U19:U22)</f>
        <v>2911784.1599999997</v>
      </c>
    </row>
    <row r="24" spans="1:21" ht="20.100000000000001" customHeight="1" x14ac:dyDescent="0.5">
      <c r="A24" s="17"/>
      <c r="B24" s="199" t="s">
        <v>81</v>
      </c>
      <c r="C24" s="199"/>
      <c r="D24" s="199"/>
      <c r="E24" s="199"/>
      <c r="F24" s="199"/>
      <c r="G24" s="200"/>
      <c r="H24" s="201"/>
      <c r="I24" s="199"/>
      <c r="J24" s="202"/>
      <c r="K24" s="203"/>
      <c r="L24" s="197"/>
      <c r="M24" s="197"/>
      <c r="N24" s="204"/>
      <c r="O24" s="202"/>
      <c r="P24" s="202"/>
      <c r="Q24" s="202"/>
      <c r="R24" s="202"/>
      <c r="S24" s="202"/>
      <c r="T24" s="202"/>
      <c r="U24" s="202"/>
    </row>
    <row r="25" spans="1:21" ht="29.7" customHeight="1" x14ac:dyDescent="0.5">
      <c r="A25" s="17">
        <v>19</v>
      </c>
      <c r="B25" s="40" t="s">
        <v>320</v>
      </c>
      <c r="C25" s="19" t="s">
        <v>83</v>
      </c>
      <c r="D25" s="20" t="s">
        <v>84</v>
      </c>
      <c r="E25" s="20" t="s">
        <v>85</v>
      </c>
      <c r="F25" s="20" t="s">
        <v>85</v>
      </c>
      <c r="G25" s="63">
        <v>100</v>
      </c>
      <c r="H25" s="66">
        <v>46265</v>
      </c>
      <c r="I25" s="21" t="s">
        <v>86</v>
      </c>
      <c r="J25" s="22">
        <v>44.688259000000002</v>
      </c>
      <c r="K25" s="149">
        <v>10.6251</v>
      </c>
      <c r="L25" s="22"/>
      <c r="M25" s="22"/>
      <c r="N25" s="61">
        <v>16644000</v>
      </c>
      <c r="O25" s="23">
        <f t="shared" ref="O25:O38" si="3">N25-P25-Q25</f>
        <v>5160000</v>
      </c>
      <c r="P25" s="23">
        <v>10440000</v>
      </c>
      <c r="Q25" s="23">
        <v>1044000</v>
      </c>
      <c r="R25" s="24">
        <v>16644000</v>
      </c>
      <c r="S25" s="24">
        <f t="shared" ref="S25:S27" si="4">N25-R25</f>
        <v>0</v>
      </c>
      <c r="T25" s="23">
        <v>10728120.25</v>
      </c>
      <c r="U25" s="23">
        <v>9406326.0500000007</v>
      </c>
    </row>
    <row r="26" spans="1:21" ht="30.6" customHeight="1" x14ac:dyDescent="0.5">
      <c r="A26" s="17">
        <v>20</v>
      </c>
      <c r="B26" s="40" t="s">
        <v>320</v>
      </c>
      <c r="C26" s="19" t="s">
        <v>87</v>
      </c>
      <c r="D26" s="20" t="s">
        <v>88</v>
      </c>
      <c r="E26" s="20" t="s">
        <v>89</v>
      </c>
      <c r="F26" s="20" t="s">
        <v>89</v>
      </c>
      <c r="G26" s="63">
        <v>100</v>
      </c>
      <c r="H26" s="64">
        <v>46203</v>
      </c>
      <c r="I26" s="26" t="s">
        <v>90</v>
      </c>
      <c r="J26" s="22">
        <v>44.6665688</v>
      </c>
      <c r="K26" s="149">
        <v>10.565811699999999</v>
      </c>
      <c r="L26" s="22"/>
      <c r="M26" s="22"/>
      <c r="N26" s="60">
        <v>674000</v>
      </c>
      <c r="O26" s="23">
        <f t="shared" si="3"/>
        <v>247400</v>
      </c>
      <c r="P26" s="23">
        <v>426600</v>
      </c>
      <c r="Q26" s="23">
        <v>0</v>
      </c>
      <c r="R26" s="23">
        <v>674000</v>
      </c>
      <c r="S26" s="23">
        <f t="shared" si="4"/>
        <v>0</v>
      </c>
      <c r="T26" s="23">
        <v>606538.05000000005</v>
      </c>
      <c r="U26" s="23">
        <v>373187.68</v>
      </c>
    </row>
    <row r="27" spans="1:21" ht="28.65" customHeight="1" x14ac:dyDescent="0.5">
      <c r="A27" s="17">
        <v>21</v>
      </c>
      <c r="B27" s="40" t="s">
        <v>320</v>
      </c>
      <c r="C27" s="19" t="s">
        <v>91</v>
      </c>
      <c r="D27" s="20" t="s">
        <v>92</v>
      </c>
      <c r="E27" s="20" t="s">
        <v>66</v>
      </c>
      <c r="F27" s="20" t="s">
        <v>66</v>
      </c>
      <c r="G27" s="63">
        <v>100</v>
      </c>
      <c r="H27" s="64">
        <v>46203</v>
      </c>
      <c r="I27" s="21" t="s">
        <v>93</v>
      </c>
      <c r="J27" s="22">
        <v>44.640900000000002</v>
      </c>
      <c r="K27" s="149">
        <v>10.7371</v>
      </c>
      <c r="L27" s="22"/>
      <c r="M27" s="22"/>
      <c r="N27" s="60">
        <v>582172.35</v>
      </c>
      <c r="O27" s="23">
        <f t="shared" si="3"/>
        <v>209499.99999999997</v>
      </c>
      <c r="P27" s="23">
        <v>355500</v>
      </c>
      <c r="Q27" s="23">
        <v>17172.349999999999</v>
      </c>
      <c r="R27" s="23">
        <v>582172.35</v>
      </c>
      <c r="S27" s="23">
        <f t="shared" si="4"/>
        <v>0</v>
      </c>
      <c r="T27" s="23">
        <v>498228.21</v>
      </c>
      <c r="U27" s="23">
        <v>352325.61</v>
      </c>
    </row>
    <row r="28" spans="1:21" ht="38.25" customHeight="1" x14ac:dyDescent="0.5">
      <c r="A28" s="17">
        <v>22</v>
      </c>
      <c r="B28" s="40" t="s">
        <v>320</v>
      </c>
      <c r="C28" s="19" t="s">
        <v>94</v>
      </c>
      <c r="D28" s="20" t="s">
        <v>95</v>
      </c>
      <c r="E28" s="20" t="s">
        <v>23</v>
      </c>
      <c r="F28" s="20" t="s">
        <v>15</v>
      </c>
      <c r="G28" s="63">
        <v>100</v>
      </c>
      <c r="H28" s="64">
        <v>46203</v>
      </c>
      <c r="I28" s="21" t="s">
        <v>96</v>
      </c>
      <c r="J28" s="22">
        <v>44.739435299999997</v>
      </c>
      <c r="K28" s="149">
        <v>10.5131975</v>
      </c>
      <c r="L28" s="22"/>
      <c r="M28" s="22"/>
      <c r="N28" s="60">
        <v>309920.55</v>
      </c>
      <c r="O28" s="23">
        <f t="shared" si="3"/>
        <v>119749.99999999999</v>
      </c>
      <c r="P28" s="23">
        <v>177750</v>
      </c>
      <c r="Q28" s="23">
        <v>12420.55</v>
      </c>
      <c r="R28" s="23">
        <v>309292.7</v>
      </c>
      <c r="S28" s="23">
        <v>627.85</v>
      </c>
      <c r="T28" s="23">
        <v>309202.57</v>
      </c>
      <c r="U28" s="23">
        <v>189989.05</v>
      </c>
    </row>
    <row r="29" spans="1:21" ht="31.5" customHeight="1" x14ac:dyDescent="0.5">
      <c r="A29" s="17">
        <v>23</v>
      </c>
      <c r="B29" s="40" t="s">
        <v>320</v>
      </c>
      <c r="C29" s="19" t="s">
        <v>97</v>
      </c>
      <c r="D29" s="20" t="s">
        <v>98</v>
      </c>
      <c r="E29" s="20" t="s">
        <v>99</v>
      </c>
      <c r="F29" s="20" t="s">
        <v>99</v>
      </c>
      <c r="G29" s="63">
        <v>100</v>
      </c>
      <c r="H29" s="64">
        <v>46203</v>
      </c>
      <c r="I29" s="21" t="s">
        <v>100</v>
      </c>
      <c r="J29" s="22">
        <v>44.691237999999998</v>
      </c>
      <c r="K29" s="149">
        <v>10.6424</v>
      </c>
      <c r="L29" s="22"/>
      <c r="M29" s="22"/>
      <c r="N29" s="60">
        <v>588000</v>
      </c>
      <c r="O29" s="23">
        <f t="shared" si="3"/>
        <v>232500</v>
      </c>
      <c r="P29" s="23">
        <v>355500</v>
      </c>
      <c r="Q29" s="23">
        <v>0</v>
      </c>
      <c r="R29" s="23">
        <v>588000</v>
      </c>
      <c r="S29" s="23">
        <v>0</v>
      </c>
      <c r="T29" s="23">
        <v>546282.66</v>
      </c>
      <c r="U29" s="23">
        <v>353135.93</v>
      </c>
    </row>
    <row r="30" spans="1:21" ht="31.5" customHeight="1" x14ac:dyDescent="0.5">
      <c r="A30" s="17">
        <v>24</v>
      </c>
      <c r="B30" s="40" t="s">
        <v>320</v>
      </c>
      <c r="C30" s="19" t="s">
        <v>101</v>
      </c>
      <c r="D30" s="20" t="s">
        <v>102</v>
      </c>
      <c r="E30" s="20" t="s">
        <v>66</v>
      </c>
      <c r="F30" s="20" t="s">
        <v>66</v>
      </c>
      <c r="G30" s="63">
        <v>100</v>
      </c>
      <c r="H30" s="64">
        <v>46203</v>
      </c>
      <c r="I30" s="21" t="s">
        <v>103</v>
      </c>
      <c r="J30" s="22">
        <v>44.691132000000003</v>
      </c>
      <c r="K30" s="149">
        <v>10.650399999999999</v>
      </c>
      <c r="L30" s="22"/>
      <c r="M30" s="22"/>
      <c r="N30" s="60">
        <v>659291.30000000005</v>
      </c>
      <c r="O30" s="23">
        <f t="shared" si="3"/>
        <v>259500.00000000006</v>
      </c>
      <c r="P30" s="23">
        <v>355500</v>
      </c>
      <c r="Q30" s="23">
        <v>44291.3</v>
      </c>
      <c r="R30" s="23">
        <v>659291.30000000005</v>
      </c>
      <c r="S30" s="24">
        <f t="shared" ref="S30:S32" si="5">N30-R30</f>
        <v>0</v>
      </c>
      <c r="T30" s="23">
        <v>533095.49</v>
      </c>
      <c r="U30" s="23">
        <v>369330.23</v>
      </c>
    </row>
    <row r="31" spans="1:21" ht="29.7" customHeight="1" x14ac:dyDescent="0.5">
      <c r="A31" s="17">
        <v>25</v>
      </c>
      <c r="B31" s="40" t="s">
        <v>320</v>
      </c>
      <c r="C31" s="19" t="s">
        <v>104</v>
      </c>
      <c r="D31" s="20" t="s">
        <v>105</v>
      </c>
      <c r="E31" s="20" t="s">
        <v>15</v>
      </c>
      <c r="F31" s="20" t="s">
        <v>15</v>
      </c>
      <c r="G31" s="63">
        <v>100</v>
      </c>
      <c r="H31" s="64">
        <v>46203</v>
      </c>
      <c r="I31" s="41" t="s">
        <v>106</v>
      </c>
      <c r="J31" s="22">
        <v>44.68618</v>
      </c>
      <c r="K31" s="149">
        <v>10.65208</v>
      </c>
      <c r="L31" s="22"/>
      <c r="M31" s="22"/>
      <c r="N31" s="60">
        <v>1166880</v>
      </c>
      <c r="O31" s="23">
        <f t="shared" si="3"/>
        <v>0</v>
      </c>
      <c r="P31" s="23">
        <v>1060800</v>
      </c>
      <c r="Q31" s="24">
        <v>106080</v>
      </c>
      <c r="R31" s="23">
        <v>1041389.39</v>
      </c>
      <c r="S31" s="23">
        <f t="shared" si="5"/>
        <v>125490.60999999999</v>
      </c>
      <c r="T31" s="23">
        <v>589571.06999999995</v>
      </c>
      <c r="U31" s="23">
        <v>589571.06999999995</v>
      </c>
    </row>
    <row r="32" spans="1:21" ht="28.65" customHeight="1" x14ac:dyDescent="0.5">
      <c r="A32" s="17">
        <v>26</v>
      </c>
      <c r="B32" s="40" t="s">
        <v>320</v>
      </c>
      <c r="C32" s="19" t="s">
        <v>107</v>
      </c>
      <c r="D32" s="20" t="s">
        <v>108</v>
      </c>
      <c r="E32" s="20" t="s">
        <v>15</v>
      </c>
      <c r="F32" s="20" t="s">
        <v>15</v>
      </c>
      <c r="G32" s="63">
        <v>100</v>
      </c>
      <c r="H32" s="64">
        <v>46203</v>
      </c>
      <c r="I32" s="21" t="s">
        <v>109</v>
      </c>
      <c r="J32" s="22">
        <v>44.688259000000002</v>
      </c>
      <c r="K32" s="149">
        <v>10.6251</v>
      </c>
      <c r="L32" s="22"/>
      <c r="M32" s="22"/>
      <c r="N32" s="60">
        <v>800500</v>
      </c>
      <c r="O32" s="23">
        <f t="shared" si="3"/>
        <v>135000</v>
      </c>
      <c r="P32" s="23">
        <v>605000</v>
      </c>
      <c r="Q32" s="23">
        <v>60500</v>
      </c>
      <c r="R32" s="23">
        <v>800500</v>
      </c>
      <c r="S32" s="23">
        <f t="shared" si="5"/>
        <v>0</v>
      </c>
      <c r="T32" s="23">
        <v>530177.91</v>
      </c>
      <c r="U32" s="23">
        <v>508336.5</v>
      </c>
    </row>
    <row r="33" spans="1:21" ht="29.7" customHeight="1" x14ac:dyDescent="0.5">
      <c r="A33" s="17">
        <v>27</v>
      </c>
      <c r="B33" s="40" t="s">
        <v>320</v>
      </c>
      <c r="C33" s="19" t="s">
        <v>110</v>
      </c>
      <c r="D33" s="20" t="s">
        <v>111</v>
      </c>
      <c r="E33" s="20" t="s">
        <v>15</v>
      </c>
      <c r="F33" s="20" t="s">
        <v>15</v>
      </c>
      <c r="G33" s="63">
        <v>100</v>
      </c>
      <c r="H33" s="64">
        <v>46203</v>
      </c>
      <c r="I33" s="21" t="s">
        <v>112</v>
      </c>
      <c r="J33" s="22">
        <v>44.685400000000001</v>
      </c>
      <c r="K33" s="149">
        <v>10.6195</v>
      </c>
      <c r="L33" s="22"/>
      <c r="M33" s="22"/>
      <c r="N33" s="61">
        <v>950460.75</v>
      </c>
      <c r="O33" s="23">
        <f t="shared" si="3"/>
        <v>63860.75</v>
      </c>
      <c r="P33" s="23">
        <v>806000</v>
      </c>
      <c r="Q33" s="23">
        <v>80600</v>
      </c>
      <c r="R33" s="23">
        <v>950460.75</v>
      </c>
      <c r="S33" s="23">
        <v>0</v>
      </c>
      <c r="T33" s="23">
        <v>795325.1</v>
      </c>
      <c r="U33" s="23">
        <v>740436.3</v>
      </c>
    </row>
    <row r="34" spans="1:21" ht="31.5" customHeight="1" x14ac:dyDescent="0.5">
      <c r="A34" s="17">
        <v>28</v>
      </c>
      <c r="B34" s="40" t="s">
        <v>320</v>
      </c>
      <c r="C34" s="19" t="s">
        <v>113</v>
      </c>
      <c r="D34" s="20" t="s">
        <v>114</v>
      </c>
      <c r="E34" s="20" t="s">
        <v>15</v>
      </c>
      <c r="F34" s="20" t="s">
        <v>15</v>
      </c>
      <c r="G34" s="63">
        <v>100</v>
      </c>
      <c r="H34" s="64">
        <v>46203</v>
      </c>
      <c r="I34" s="21" t="s">
        <v>115</v>
      </c>
      <c r="J34" s="22">
        <v>44.672800000000002</v>
      </c>
      <c r="K34" s="149">
        <v>10.614800000000001</v>
      </c>
      <c r="L34" s="22"/>
      <c r="M34" s="22"/>
      <c r="N34" s="60">
        <v>1297610</v>
      </c>
      <c r="O34" s="23">
        <f t="shared" si="3"/>
        <v>115000</v>
      </c>
      <c r="P34" s="23">
        <v>1075100</v>
      </c>
      <c r="Q34" s="23">
        <v>107510</v>
      </c>
      <c r="R34" s="23">
        <v>1297610</v>
      </c>
      <c r="S34" s="23">
        <f t="shared" ref="S34:S36" si="6">N34-R34</f>
        <v>0</v>
      </c>
      <c r="T34" s="23">
        <v>877646.06</v>
      </c>
      <c r="U34" s="23">
        <v>839849.25</v>
      </c>
    </row>
    <row r="35" spans="1:21" ht="32.4" customHeight="1" x14ac:dyDescent="0.5">
      <c r="A35" s="17">
        <v>29</v>
      </c>
      <c r="B35" s="40" t="s">
        <v>320</v>
      </c>
      <c r="C35" s="19" t="s">
        <v>116</v>
      </c>
      <c r="D35" s="20" t="s">
        <v>117</v>
      </c>
      <c r="E35" s="20" t="s">
        <v>15</v>
      </c>
      <c r="F35" s="20" t="s">
        <v>15</v>
      </c>
      <c r="G35" s="63">
        <v>100</v>
      </c>
      <c r="H35" s="64">
        <v>46203</v>
      </c>
      <c r="I35" s="21" t="s">
        <v>118</v>
      </c>
      <c r="J35" s="22">
        <v>44.692799999999998</v>
      </c>
      <c r="K35" s="149">
        <v>10.607799999999999</v>
      </c>
      <c r="L35" s="22"/>
      <c r="M35" s="22"/>
      <c r="N35" s="60">
        <v>1284961.55</v>
      </c>
      <c r="O35" s="23">
        <f t="shared" si="3"/>
        <v>138101.55000000005</v>
      </c>
      <c r="P35" s="23">
        <v>1042600</v>
      </c>
      <c r="Q35" s="23">
        <v>104260</v>
      </c>
      <c r="R35" s="23">
        <v>1273190.53</v>
      </c>
      <c r="S35" s="23">
        <f t="shared" si="6"/>
        <v>11771.020000000019</v>
      </c>
      <c r="T35" s="23">
        <v>1270702.1000000001</v>
      </c>
      <c r="U35" s="23">
        <v>1132600.56</v>
      </c>
    </row>
    <row r="36" spans="1:21" ht="32.4" customHeight="1" x14ac:dyDescent="0.5">
      <c r="A36" s="17">
        <v>30</v>
      </c>
      <c r="B36" s="40" t="s">
        <v>320</v>
      </c>
      <c r="C36" s="19" t="s">
        <v>119</v>
      </c>
      <c r="D36" s="20" t="s">
        <v>120</v>
      </c>
      <c r="E36" s="20" t="s">
        <v>15</v>
      </c>
      <c r="F36" s="20" t="s">
        <v>15</v>
      </c>
      <c r="G36" s="63">
        <v>100</v>
      </c>
      <c r="H36" s="64">
        <v>46203</v>
      </c>
      <c r="I36" s="21" t="s">
        <v>121</v>
      </c>
      <c r="J36" s="22">
        <v>44.706521000000002</v>
      </c>
      <c r="K36" s="149">
        <v>10.595694999999999</v>
      </c>
      <c r="L36" s="22"/>
      <c r="M36" s="22"/>
      <c r="N36" s="60">
        <v>972950</v>
      </c>
      <c r="O36" s="23">
        <f t="shared" si="3"/>
        <v>0</v>
      </c>
      <c r="P36" s="23">
        <v>884500</v>
      </c>
      <c r="Q36" s="23">
        <v>88450</v>
      </c>
      <c r="R36" s="23">
        <v>874084.38</v>
      </c>
      <c r="S36" s="23">
        <f t="shared" si="6"/>
        <v>98865.62</v>
      </c>
      <c r="T36" s="23">
        <v>765508.28</v>
      </c>
      <c r="U36" s="23">
        <v>765508.28</v>
      </c>
    </row>
    <row r="37" spans="1:21" ht="31.5" customHeight="1" x14ac:dyDescent="0.5">
      <c r="A37" s="17">
        <v>31</v>
      </c>
      <c r="B37" s="40" t="s">
        <v>320</v>
      </c>
      <c r="C37" s="19" t="s">
        <v>122</v>
      </c>
      <c r="D37" s="20" t="s">
        <v>123</v>
      </c>
      <c r="E37" s="20" t="s">
        <v>15</v>
      </c>
      <c r="F37" s="20" t="s">
        <v>15</v>
      </c>
      <c r="G37" s="63">
        <v>100</v>
      </c>
      <c r="H37" s="64">
        <v>46265</v>
      </c>
      <c r="I37" s="26" t="s">
        <v>124</v>
      </c>
      <c r="J37" s="22">
        <v>44.700631000000001</v>
      </c>
      <c r="K37" s="149">
        <v>10.599942</v>
      </c>
      <c r="L37" s="22"/>
      <c r="M37" s="22"/>
      <c r="N37" s="61">
        <v>4794400</v>
      </c>
      <c r="O37" s="23">
        <f t="shared" si="3"/>
        <v>1600000</v>
      </c>
      <c r="P37" s="23">
        <v>2904000</v>
      </c>
      <c r="Q37" s="23">
        <v>290400</v>
      </c>
      <c r="R37" s="24">
        <v>4794400</v>
      </c>
      <c r="S37" s="23">
        <v>0</v>
      </c>
      <c r="T37" s="23">
        <v>3666533.2</v>
      </c>
      <c r="U37" s="23">
        <v>2435463.02</v>
      </c>
    </row>
    <row r="38" spans="1:21" ht="39.15" customHeight="1" x14ac:dyDescent="0.5">
      <c r="A38" s="17"/>
      <c r="B38" s="33" t="s">
        <v>62</v>
      </c>
      <c r="C38" s="33"/>
      <c r="D38" s="33"/>
      <c r="E38" s="33"/>
      <c r="F38" s="33"/>
      <c r="G38" s="63"/>
      <c r="H38" s="65"/>
      <c r="I38" s="33"/>
      <c r="J38" s="34"/>
      <c r="K38" s="151"/>
      <c r="L38" s="96"/>
      <c r="M38" s="96"/>
      <c r="N38" s="62">
        <f>SUM(N25:N37)</f>
        <v>30725146.500000004</v>
      </c>
      <c r="O38" s="36">
        <f t="shared" si="3"/>
        <v>8280612.3000000035</v>
      </c>
      <c r="P38" s="36">
        <f>SUM(P25:P37)</f>
        <v>20488850</v>
      </c>
      <c r="Q38" s="36">
        <f>SUM(Q25:Q37)</f>
        <v>1955684.2000000002</v>
      </c>
      <c r="R38" s="36"/>
      <c r="S38" s="36"/>
      <c r="T38" s="36">
        <f>SUM(T25:T37)</f>
        <v>21716930.950000003</v>
      </c>
      <c r="U38" s="36">
        <f>SUM(U25:U37)</f>
        <v>18056059.530000001</v>
      </c>
    </row>
    <row r="39" spans="1:21" ht="20.100000000000001" customHeight="1" x14ac:dyDescent="0.5">
      <c r="A39" s="17"/>
      <c r="B39" s="199" t="s">
        <v>125</v>
      </c>
      <c r="C39" s="199"/>
      <c r="D39" s="199"/>
      <c r="E39" s="199"/>
      <c r="F39" s="199"/>
      <c r="G39" s="200"/>
      <c r="H39" s="201"/>
      <c r="I39" s="199"/>
      <c r="J39" s="202"/>
      <c r="K39" s="203"/>
      <c r="L39" s="197"/>
      <c r="M39" s="197"/>
      <c r="N39" s="204"/>
      <c r="O39" s="202"/>
      <c r="P39" s="202"/>
      <c r="Q39" s="202"/>
      <c r="R39" s="202"/>
      <c r="S39" s="202"/>
      <c r="T39" s="202"/>
      <c r="U39" s="202"/>
    </row>
    <row r="40" spans="1:21" ht="26.85" customHeight="1" x14ac:dyDescent="0.5">
      <c r="A40" s="17">
        <v>32</v>
      </c>
      <c r="B40" s="42" t="s">
        <v>321</v>
      </c>
      <c r="C40" s="19" t="s">
        <v>126</v>
      </c>
      <c r="D40" s="20" t="s">
        <v>127</v>
      </c>
      <c r="E40" s="20" t="s">
        <v>85</v>
      </c>
      <c r="F40" s="20" t="s">
        <v>85</v>
      </c>
      <c r="G40" s="63">
        <v>100</v>
      </c>
      <c r="H40" s="64">
        <v>46203</v>
      </c>
      <c r="I40" s="21" t="s">
        <v>128</v>
      </c>
      <c r="J40" s="22">
        <v>44.657499999999999</v>
      </c>
      <c r="K40" s="149">
        <v>10.708299999999999</v>
      </c>
      <c r="L40" s="22"/>
      <c r="M40" s="22"/>
      <c r="N40" s="60">
        <v>2650000</v>
      </c>
      <c r="O40" s="23">
        <f t="shared" ref="O40:O42" si="7">N40-P40-Q40</f>
        <v>150000</v>
      </c>
      <c r="P40" s="23">
        <v>2500000</v>
      </c>
      <c r="Q40" s="23">
        <v>0</v>
      </c>
      <c r="R40" s="23">
        <v>2650000</v>
      </c>
      <c r="S40" s="23">
        <f t="shared" ref="S40:S41" si="8">N40-R40</f>
        <v>0</v>
      </c>
      <c r="T40" s="23">
        <v>2256549.5</v>
      </c>
      <c r="U40" s="23">
        <v>2252541.14</v>
      </c>
    </row>
    <row r="41" spans="1:21" ht="26.85" customHeight="1" x14ac:dyDescent="0.5">
      <c r="A41" s="17">
        <v>33</v>
      </c>
      <c r="B41" s="42" t="s">
        <v>321</v>
      </c>
      <c r="C41" s="19" t="s">
        <v>129</v>
      </c>
      <c r="D41" s="20" t="s">
        <v>130</v>
      </c>
      <c r="E41" s="20" t="s">
        <v>85</v>
      </c>
      <c r="F41" s="20" t="s">
        <v>85</v>
      </c>
      <c r="G41" s="63">
        <v>100</v>
      </c>
      <c r="H41" s="64">
        <v>46203</v>
      </c>
      <c r="I41" s="43" t="s">
        <v>131</v>
      </c>
      <c r="J41" s="22">
        <v>44.693269999999998</v>
      </c>
      <c r="K41" s="149">
        <v>10.64129</v>
      </c>
      <c r="L41" s="22"/>
      <c r="M41" s="22"/>
      <c r="N41" s="60">
        <v>1300000</v>
      </c>
      <c r="O41" s="23">
        <f t="shared" si="7"/>
        <v>300000</v>
      </c>
      <c r="P41" s="23">
        <v>1000000</v>
      </c>
      <c r="Q41" s="23">
        <v>0</v>
      </c>
      <c r="R41" s="24">
        <v>1216311.1599999999</v>
      </c>
      <c r="S41" s="23">
        <f t="shared" si="8"/>
        <v>83688.840000000084</v>
      </c>
      <c r="T41" s="23">
        <v>1212002.54</v>
      </c>
      <c r="U41" s="23">
        <v>976937.78</v>
      </c>
    </row>
    <row r="42" spans="1:21" ht="36.450000000000003" customHeight="1" x14ac:dyDescent="0.5">
      <c r="A42" s="17"/>
      <c r="B42" s="33" t="s">
        <v>62</v>
      </c>
      <c r="C42" s="33"/>
      <c r="D42" s="33"/>
      <c r="E42" s="33"/>
      <c r="F42" s="33"/>
      <c r="G42" s="63"/>
      <c r="H42" s="65"/>
      <c r="I42" s="33"/>
      <c r="J42" s="34"/>
      <c r="K42" s="151"/>
      <c r="L42" s="96"/>
      <c r="M42" s="96"/>
      <c r="N42" s="62">
        <f>SUM(N40:N41)</f>
        <v>3950000</v>
      </c>
      <c r="O42" s="36">
        <f t="shared" si="7"/>
        <v>450000</v>
      </c>
      <c r="P42" s="36">
        <f>SUM(P40:P41)</f>
        <v>3500000</v>
      </c>
      <c r="Q42" s="36">
        <f>SUM(Q40:Q41)</f>
        <v>0</v>
      </c>
      <c r="R42" s="36"/>
      <c r="S42" s="36"/>
      <c r="T42" s="36">
        <f>SUM(T40:T41)</f>
        <v>3468552.04</v>
      </c>
      <c r="U42" s="36">
        <f>SUM(U40:U41)</f>
        <v>3229478.92</v>
      </c>
    </row>
    <row r="43" spans="1:21" ht="21" customHeight="1" x14ac:dyDescent="0.5">
      <c r="A43" s="17"/>
      <c r="B43" s="199" t="s">
        <v>132</v>
      </c>
      <c r="C43" s="199"/>
      <c r="D43" s="199"/>
      <c r="E43" s="199"/>
      <c r="F43" s="199"/>
      <c r="G43" s="200"/>
      <c r="H43" s="201"/>
      <c r="I43" s="199"/>
      <c r="J43" s="202"/>
      <c r="K43" s="203"/>
      <c r="L43" s="197"/>
      <c r="M43" s="197"/>
      <c r="N43" s="204"/>
      <c r="O43" s="202"/>
      <c r="P43" s="202"/>
      <c r="Q43" s="202"/>
      <c r="R43" s="202"/>
      <c r="S43" s="202"/>
      <c r="T43" s="202"/>
      <c r="U43" s="202"/>
    </row>
    <row r="44" spans="1:21" ht="42.9" customHeight="1" x14ac:dyDescent="0.5">
      <c r="A44" s="17">
        <v>34</v>
      </c>
      <c r="B44" s="28" t="s">
        <v>318</v>
      </c>
      <c r="C44" s="20" t="s">
        <v>133</v>
      </c>
      <c r="D44" s="20" t="s">
        <v>134</v>
      </c>
      <c r="E44" s="20" t="s">
        <v>135</v>
      </c>
      <c r="F44" s="20" t="s">
        <v>135</v>
      </c>
      <c r="G44" s="63">
        <v>100</v>
      </c>
      <c r="H44" s="64">
        <v>46203</v>
      </c>
      <c r="I44" s="38" t="s">
        <v>136</v>
      </c>
      <c r="J44" s="39">
        <v>44.693809999999999</v>
      </c>
      <c r="K44" s="150">
        <v>10.655150000000001</v>
      </c>
      <c r="L44" s="39">
        <v>44.697800000000001</v>
      </c>
      <c r="M44" s="39">
        <v>10.6303</v>
      </c>
      <c r="N44" s="60">
        <v>487039</v>
      </c>
      <c r="O44" s="23">
        <f t="shared" ref="O44:O47" si="9">N44-P44-Q44</f>
        <v>0</v>
      </c>
      <c r="P44" s="23">
        <v>487039</v>
      </c>
      <c r="Q44" s="23">
        <v>0</v>
      </c>
      <c r="R44" s="44">
        <v>386700.27</v>
      </c>
      <c r="S44" s="29">
        <f t="shared" ref="S44:S45" si="10">N44-R44</f>
        <v>100338.72999999998</v>
      </c>
      <c r="T44" s="29">
        <v>386841.79</v>
      </c>
      <c r="U44" s="29">
        <v>386841.79</v>
      </c>
    </row>
    <row r="45" spans="1:21" ht="68.400000000000006" customHeight="1" x14ac:dyDescent="0.5">
      <c r="A45" s="17">
        <v>35</v>
      </c>
      <c r="B45" s="28" t="s">
        <v>318</v>
      </c>
      <c r="C45" s="20" t="s">
        <v>137</v>
      </c>
      <c r="D45" s="20" t="s">
        <v>138</v>
      </c>
      <c r="E45" s="20" t="s">
        <v>37</v>
      </c>
      <c r="F45" s="20" t="s">
        <v>37</v>
      </c>
      <c r="G45" s="63">
        <v>100</v>
      </c>
      <c r="H45" s="64">
        <v>46203</v>
      </c>
      <c r="I45" s="70" t="s">
        <v>139</v>
      </c>
      <c r="J45" s="39">
        <v>44.725255900000001</v>
      </c>
      <c r="K45" s="150">
        <v>10.6546029</v>
      </c>
      <c r="L45" s="39">
        <v>44.7301</v>
      </c>
      <c r="M45" s="39">
        <v>10.645</v>
      </c>
      <c r="N45" s="60">
        <v>1600000</v>
      </c>
      <c r="O45" s="23">
        <f t="shared" si="9"/>
        <v>0</v>
      </c>
      <c r="P45" s="23">
        <v>1600000</v>
      </c>
      <c r="Q45" s="23">
        <v>0</v>
      </c>
      <c r="R45" s="30">
        <v>1517005.86</v>
      </c>
      <c r="S45" s="29">
        <f t="shared" si="10"/>
        <v>82994.139999999898</v>
      </c>
      <c r="T45" s="29">
        <v>1513502.86</v>
      </c>
      <c r="U45" s="29">
        <v>1513502.86</v>
      </c>
    </row>
    <row r="46" spans="1:21" ht="35.1" customHeight="1" x14ac:dyDescent="0.5">
      <c r="A46" s="17">
        <v>36</v>
      </c>
      <c r="B46" s="28" t="s">
        <v>318</v>
      </c>
      <c r="C46" s="20" t="s">
        <v>140</v>
      </c>
      <c r="D46" s="20" t="s">
        <v>141</v>
      </c>
      <c r="E46" s="20" t="s">
        <v>135</v>
      </c>
      <c r="F46" s="20" t="s">
        <v>135</v>
      </c>
      <c r="G46" s="63">
        <v>100</v>
      </c>
      <c r="H46" s="64">
        <v>46203</v>
      </c>
      <c r="I46" s="38" t="s">
        <v>142</v>
      </c>
      <c r="J46" s="39">
        <v>44.643999999999998</v>
      </c>
      <c r="K46" s="150">
        <v>10.63</v>
      </c>
      <c r="L46" s="39">
        <v>44.720539000000002</v>
      </c>
      <c r="M46" s="39">
        <v>10.637499999999999</v>
      </c>
      <c r="N46" s="60">
        <v>860237.57</v>
      </c>
      <c r="O46" s="23">
        <f t="shared" si="9"/>
        <v>0</v>
      </c>
      <c r="P46" s="23">
        <v>860237.57</v>
      </c>
      <c r="Q46" s="23">
        <v>0</v>
      </c>
      <c r="R46" s="29">
        <v>744210.03</v>
      </c>
      <c r="S46" s="29">
        <v>116027.54</v>
      </c>
      <c r="T46" s="29">
        <v>744210.03</v>
      </c>
      <c r="U46" s="29">
        <v>744210.03</v>
      </c>
    </row>
    <row r="47" spans="1:21" ht="35.4" customHeight="1" x14ac:dyDescent="0.5">
      <c r="A47" s="17"/>
      <c r="B47" s="33" t="s">
        <v>62</v>
      </c>
      <c r="C47" s="33"/>
      <c r="D47" s="33"/>
      <c r="E47" s="33"/>
      <c r="F47" s="33"/>
      <c r="G47" s="63"/>
      <c r="H47" s="65"/>
      <c r="I47" s="33"/>
      <c r="J47" s="34"/>
      <c r="K47" s="151"/>
      <c r="L47" s="96"/>
      <c r="M47" s="96"/>
      <c r="N47" s="62">
        <f>SUM(N44:N46)</f>
        <v>2947276.57</v>
      </c>
      <c r="O47" s="36">
        <f t="shared" si="9"/>
        <v>0</v>
      </c>
      <c r="P47" s="36">
        <f>SUM(P44:P46)</f>
        <v>2947276.57</v>
      </c>
      <c r="Q47" s="36">
        <f>SUM(Q44:Q46)</f>
        <v>0</v>
      </c>
      <c r="R47" s="36"/>
      <c r="S47" s="36"/>
      <c r="T47" s="36">
        <f>SUM(T44:T46)</f>
        <v>2644554.6800000002</v>
      </c>
      <c r="U47" s="36">
        <f>SUM(U44:U46)</f>
        <v>2644554.6800000002</v>
      </c>
    </row>
    <row r="48" spans="1:21" ht="21" customHeight="1" x14ac:dyDescent="0.5">
      <c r="A48" s="17"/>
      <c r="B48" s="199" t="s">
        <v>143</v>
      </c>
      <c r="C48" s="199"/>
      <c r="D48" s="199"/>
      <c r="E48" s="199"/>
      <c r="F48" s="199"/>
      <c r="G48" s="200"/>
      <c r="H48" s="201"/>
      <c r="I48" s="199"/>
      <c r="J48" s="202"/>
      <c r="K48" s="203"/>
      <c r="L48" s="197"/>
      <c r="M48" s="197"/>
      <c r="N48" s="204"/>
      <c r="O48" s="202"/>
      <c r="P48" s="202"/>
      <c r="Q48" s="202"/>
      <c r="R48" s="202"/>
      <c r="S48" s="202"/>
      <c r="T48" s="202"/>
      <c r="U48" s="202"/>
    </row>
    <row r="49" spans="1:21" ht="38.1" customHeight="1" x14ac:dyDescent="0.5">
      <c r="A49" s="17">
        <v>37</v>
      </c>
      <c r="B49" s="45" t="s">
        <v>322</v>
      </c>
      <c r="C49" s="19" t="s">
        <v>144</v>
      </c>
      <c r="D49" s="20" t="s">
        <v>145</v>
      </c>
      <c r="E49" s="20" t="s">
        <v>146</v>
      </c>
      <c r="F49" s="20" t="s">
        <v>146</v>
      </c>
      <c r="G49" s="63">
        <v>100</v>
      </c>
      <c r="H49" s="64">
        <v>46203</v>
      </c>
      <c r="I49" s="21" t="s">
        <v>518</v>
      </c>
      <c r="J49" s="22"/>
      <c r="K49" s="149"/>
      <c r="L49" s="22"/>
      <c r="M49" s="22"/>
      <c r="N49" s="60">
        <v>2460000</v>
      </c>
      <c r="O49" s="23">
        <f t="shared" ref="O49:O54" si="11">N49-P49-Q49</f>
        <v>0</v>
      </c>
      <c r="P49" s="23">
        <v>2460000</v>
      </c>
      <c r="Q49" s="23">
        <v>0</v>
      </c>
      <c r="R49" s="23">
        <v>2349441.3199999998</v>
      </c>
      <c r="S49" s="23">
        <f>N49-R49</f>
        <v>110558.68000000017</v>
      </c>
      <c r="T49" s="46">
        <v>1135706.8600000001</v>
      </c>
      <c r="U49" s="46">
        <v>1135706.8600000001</v>
      </c>
    </row>
    <row r="50" spans="1:21" ht="51.6" customHeight="1" x14ac:dyDescent="0.5">
      <c r="A50" s="17">
        <v>38</v>
      </c>
      <c r="B50" s="45" t="s">
        <v>322</v>
      </c>
      <c r="C50" s="19" t="s">
        <v>148</v>
      </c>
      <c r="D50" s="20" t="s">
        <v>149</v>
      </c>
      <c r="E50" s="20" t="s">
        <v>146</v>
      </c>
      <c r="F50" s="20" t="s">
        <v>146</v>
      </c>
      <c r="G50" s="63">
        <v>100</v>
      </c>
      <c r="H50" s="64">
        <v>46203</v>
      </c>
      <c r="I50" s="26" t="s">
        <v>150</v>
      </c>
      <c r="J50" s="22">
        <v>44.70975</v>
      </c>
      <c r="K50" s="149">
        <v>10.608269999999999</v>
      </c>
      <c r="L50" s="22"/>
      <c r="M50" s="22"/>
      <c r="N50" s="60">
        <v>765000</v>
      </c>
      <c r="O50" s="23">
        <f t="shared" si="11"/>
        <v>50000</v>
      </c>
      <c r="P50" s="23">
        <v>715000</v>
      </c>
      <c r="Q50" s="23">
        <v>0</v>
      </c>
      <c r="R50" s="23">
        <v>765000</v>
      </c>
      <c r="S50" s="23">
        <v>0</v>
      </c>
      <c r="T50" s="46">
        <v>521673.2</v>
      </c>
      <c r="U50" s="46">
        <v>500157.81</v>
      </c>
    </row>
    <row r="51" spans="1:21" ht="63.15" customHeight="1" x14ac:dyDescent="0.5">
      <c r="A51" s="17">
        <v>39</v>
      </c>
      <c r="B51" s="45" t="s">
        <v>322</v>
      </c>
      <c r="C51" s="19" t="s">
        <v>151</v>
      </c>
      <c r="D51" s="20" t="s">
        <v>152</v>
      </c>
      <c r="E51" s="20" t="s">
        <v>153</v>
      </c>
      <c r="F51" s="20" t="s">
        <v>153</v>
      </c>
      <c r="G51" s="68"/>
      <c r="H51" s="65"/>
      <c r="I51" s="26" t="s">
        <v>154</v>
      </c>
      <c r="J51" s="22"/>
      <c r="K51" s="149"/>
      <c r="L51" s="22"/>
      <c r="M51" s="22"/>
      <c r="N51" s="60">
        <v>329583.84000000003</v>
      </c>
      <c r="O51" s="23">
        <f t="shared" si="11"/>
        <v>0</v>
      </c>
      <c r="P51" s="23">
        <v>329583.84000000003</v>
      </c>
      <c r="Q51" s="23">
        <v>0</v>
      </c>
      <c r="R51" s="23">
        <v>309994.65999999997</v>
      </c>
      <c r="S51" s="23">
        <f>N51-R51</f>
        <v>19589.180000000051</v>
      </c>
      <c r="T51" s="23">
        <v>226064.53</v>
      </c>
      <c r="U51" s="23">
        <v>226064.53</v>
      </c>
    </row>
    <row r="52" spans="1:21" ht="25.35" customHeight="1" x14ac:dyDescent="0.5">
      <c r="A52" s="17">
        <v>40</v>
      </c>
      <c r="B52" s="45" t="s">
        <v>322</v>
      </c>
      <c r="C52" s="19" t="s">
        <v>155</v>
      </c>
      <c r="D52" s="20" t="s">
        <v>156</v>
      </c>
      <c r="E52" s="20" t="s">
        <v>146</v>
      </c>
      <c r="F52" s="20" t="s">
        <v>146</v>
      </c>
      <c r="G52" s="63">
        <v>100</v>
      </c>
      <c r="H52" s="64">
        <v>46203</v>
      </c>
      <c r="I52" s="21" t="s">
        <v>157</v>
      </c>
      <c r="J52" s="22">
        <v>44.6982</v>
      </c>
      <c r="K52" s="149">
        <v>10.617800000000001</v>
      </c>
      <c r="L52" s="22"/>
      <c r="M52" s="22"/>
      <c r="N52" s="60">
        <v>710000</v>
      </c>
      <c r="O52" s="23">
        <f t="shared" si="11"/>
        <v>0</v>
      </c>
      <c r="P52" s="23">
        <v>710000</v>
      </c>
      <c r="Q52" s="23">
        <v>0</v>
      </c>
      <c r="R52" s="23">
        <v>710000</v>
      </c>
      <c r="S52" s="23">
        <v>0</v>
      </c>
      <c r="T52" s="46">
        <v>698121.76</v>
      </c>
      <c r="U52" s="46">
        <v>698121.76</v>
      </c>
    </row>
    <row r="53" spans="1:21" ht="42.45" customHeight="1" x14ac:dyDescent="0.5">
      <c r="A53" s="17">
        <v>41</v>
      </c>
      <c r="B53" s="45" t="s">
        <v>322</v>
      </c>
      <c r="C53" s="19" t="s">
        <v>158</v>
      </c>
      <c r="D53" s="20" t="s">
        <v>159</v>
      </c>
      <c r="E53" s="20" t="s">
        <v>146</v>
      </c>
      <c r="F53" s="20" t="s">
        <v>146</v>
      </c>
      <c r="G53" s="63">
        <v>100</v>
      </c>
      <c r="H53" s="64">
        <v>46203</v>
      </c>
      <c r="I53" s="26" t="s">
        <v>160</v>
      </c>
      <c r="J53" s="22">
        <v>44.709000000000003</v>
      </c>
      <c r="K53" s="149">
        <v>10.608700000000001</v>
      </c>
      <c r="L53" s="22"/>
      <c r="M53" s="22"/>
      <c r="N53" s="60">
        <v>1387000</v>
      </c>
      <c r="O53" s="23">
        <f t="shared" si="11"/>
        <v>297000</v>
      </c>
      <c r="P53" s="23">
        <v>1090000</v>
      </c>
      <c r="Q53" s="23">
        <v>0</v>
      </c>
      <c r="R53" s="23">
        <v>1387000</v>
      </c>
      <c r="S53" s="23">
        <v>0</v>
      </c>
      <c r="T53" s="46">
        <v>936086.68</v>
      </c>
      <c r="U53" s="46">
        <v>936086.68</v>
      </c>
    </row>
    <row r="54" spans="1:21" ht="38.25" customHeight="1" x14ac:dyDescent="0.5">
      <c r="A54" s="17"/>
      <c r="B54" s="33" t="s">
        <v>62</v>
      </c>
      <c r="C54" s="33"/>
      <c r="D54" s="33"/>
      <c r="E54" s="33"/>
      <c r="F54" s="33"/>
      <c r="G54" s="63"/>
      <c r="H54" s="65"/>
      <c r="I54" s="33"/>
      <c r="J54" s="34"/>
      <c r="K54" s="151"/>
      <c r="L54" s="96"/>
      <c r="M54" s="96"/>
      <c r="N54" s="62">
        <f>SUM(N49:N53)</f>
        <v>5651583.8399999999</v>
      </c>
      <c r="O54" s="36">
        <f t="shared" si="11"/>
        <v>347000</v>
      </c>
      <c r="P54" s="36">
        <f>SUM(P49:P53)</f>
        <v>5304583.84</v>
      </c>
      <c r="Q54" s="36">
        <f>SUM(Q49:Q53)</f>
        <v>0</v>
      </c>
      <c r="R54" s="36"/>
      <c r="S54" s="36"/>
      <c r="T54" s="36">
        <f>SUM(T49:T53)</f>
        <v>3517653.0300000003</v>
      </c>
      <c r="U54" s="36">
        <f>SUM(U49:U53)</f>
        <v>3496137.64</v>
      </c>
    </row>
    <row r="55" spans="1:21" ht="20.100000000000001" customHeight="1" x14ac:dyDescent="0.5">
      <c r="A55" s="17"/>
      <c r="B55" s="199" t="s">
        <v>161</v>
      </c>
      <c r="C55" s="199"/>
      <c r="D55" s="199"/>
      <c r="E55" s="199"/>
      <c r="F55" s="199"/>
      <c r="G55" s="200"/>
      <c r="H55" s="201"/>
      <c r="I55" s="199"/>
      <c r="J55" s="202"/>
      <c r="K55" s="203"/>
      <c r="L55" s="197"/>
      <c r="M55" s="197"/>
      <c r="N55" s="204"/>
      <c r="O55" s="202"/>
      <c r="P55" s="202"/>
      <c r="Q55" s="202"/>
      <c r="R55" s="202"/>
      <c r="S55" s="202"/>
      <c r="T55" s="202"/>
      <c r="U55" s="202"/>
    </row>
    <row r="56" spans="1:21" ht="25.95" customHeight="1" x14ac:dyDescent="0.5">
      <c r="A56" s="17">
        <v>42</v>
      </c>
      <c r="B56" s="18" t="s">
        <v>316</v>
      </c>
      <c r="C56" s="19" t="s">
        <v>162</v>
      </c>
      <c r="D56" s="20" t="s">
        <v>163</v>
      </c>
      <c r="E56" s="20" t="s">
        <v>164</v>
      </c>
      <c r="F56" s="20" t="s">
        <v>164</v>
      </c>
      <c r="G56" s="63">
        <v>100</v>
      </c>
      <c r="H56" s="64">
        <v>46203</v>
      </c>
      <c r="I56" s="43" t="s">
        <v>165</v>
      </c>
      <c r="J56" s="22">
        <v>44.700042000000003</v>
      </c>
      <c r="K56" s="149">
        <v>10.632056</v>
      </c>
      <c r="L56" s="22"/>
      <c r="M56" s="22"/>
      <c r="N56" s="60">
        <v>499999</v>
      </c>
      <c r="O56" s="23">
        <f>N56-P56-Q56</f>
        <v>0</v>
      </c>
      <c r="P56" s="23">
        <v>499999</v>
      </c>
      <c r="Q56" s="23">
        <v>0</v>
      </c>
      <c r="R56" s="23">
        <v>499999</v>
      </c>
      <c r="S56" s="23">
        <v>0</v>
      </c>
      <c r="T56" s="23">
        <v>478633.36</v>
      </c>
      <c r="U56" s="23">
        <v>478633.36</v>
      </c>
    </row>
    <row r="57" spans="1:21" ht="25.95" customHeight="1" x14ac:dyDescent="0.5">
      <c r="A57" s="82">
        <v>43</v>
      </c>
      <c r="B57" s="109" t="s">
        <v>316</v>
      </c>
      <c r="C57" s="84" t="s">
        <v>166</v>
      </c>
      <c r="D57" s="88" t="s">
        <v>163</v>
      </c>
      <c r="E57" s="88"/>
      <c r="F57" s="88"/>
      <c r="G57" s="110"/>
      <c r="H57" s="121"/>
      <c r="I57" s="88"/>
      <c r="J57" s="89">
        <v>44.700042000000003</v>
      </c>
      <c r="K57" s="152">
        <v>10.632056</v>
      </c>
      <c r="L57" s="22"/>
      <c r="M57" s="22"/>
      <c r="N57" s="163"/>
      <c r="O57" s="112"/>
      <c r="P57" s="112"/>
      <c r="Q57" s="112"/>
      <c r="R57" s="112"/>
      <c r="S57" s="112"/>
      <c r="T57" s="112"/>
      <c r="U57" s="112"/>
    </row>
    <row r="58" spans="1:21" ht="25.95" customHeight="1" x14ac:dyDescent="0.5">
      <c r="A58" s="76"/>
      <c r="B58" s="182" t="s">
        <v>62</v>
      </c>
      <c r="C58" s="182"/>
      <c r="D58" s="182"/>
      <c r="E58" s="182"/>
      <c r="F58" s="182"/>
      <c r="G58" s="107"/>
      <c r="H58" s="119"/>
      <c r="I58" s="47"/>
      <c r="J58" s="80"/>
      <c r="K58" s="153"/>
      <c r="L58" s="79"/>
      <c r="M58" s="79"/>
      <c r="N58" s="62">
        <f>SUM(N56:N57)</f>
        <v>499999</v>
      </c>
      <c r="O58" s="36">
        <f>N58-P58-Q58</f>
        <v>0</v>
      </c>
      <c r="P58" s="36">
        <f>SUM(P56:P57)</f>
        <v>499999</v>
      </c>
      <c r="Q58" s="36">
        <f>SUM(Q56:Q57)</f>
        <v>0</v>
      </c>
      <c r="R58" s="35"/>
      <c r="S58" s="35"/>
      <c r="T58" s="35">
        <f>SUM(T56:T57)</f>
        <v>478633.36</v>
      </c>
      <c r="U58" s="35">
        <f>SUM(U56:U57)</f>
        <v>478633.36</v>
      </c>
    </row>
    <row r="59" spans="1:21" ht="20.100000000000001" customHeight="1" x14ac:dyDescent="0.5">
      <c r="A59" s="113"/>
      <c r="B59" s="192" t="s">
        <v>167</v>
      </c>
      <c r="C59" s="192"/>
      <c r="D59" s="192"/>
      <c r="E59" s="192"/>
      <c r="F59" s="192"/>
      <c r="G59" s="193"/>
      <c r="H59" s="194"/>
      <c r="I59" s="192"/>
      <c r="J59" s="195"/>
      <c r="K59" s="196"/>
      <c r="L59" s="197"/>
      <c r="M59" s="197"/>
      <c r="N59" s="198"/>
      <c r="O59" s="195"/>
      <c r="P59" s="195"/>
      <c r="Q59" s="195"/>
      <c r="R59" s="195"/>
      <c r="S59" s="195"/>
      <c r="T59" s="195"/>
      <c r="U59" s="195"/>
    </row>
    <row r="60" spans="1:21" ht="21.9" customHeight="1" x14ac:dyDescent="0.5">
      <c r="A60" s="82">
        <v>44</v>
      </c>
      <c r="B60" s="123" t="s">
        <v>319</v>
      </c>
      <c r="C60" s="84" t="s">
        <v>168</v>
      </c>
      <c r="D60" s="88" t="s">
        <v>169</v>
      </c>
      <c r="E60" s="88" t="s">
        <v>15</v>
      </c>
      <c r="F60" s="88" t="s">
        <v>15</v>
      </c>
      <c r="G60" s="110">
        <v>100</v>
      </c>
      <c r="H60" s="87">
        <v>46203</v>
      </c>
      <c r="I60" s="124" t="s">
        <v>170</v>
      </c>
      <c r="J60" s="89">
        <v>44.691237999999998</v>
      </c>
      <c r="K60" s="152">
        <v>10.6424</v>
      </c>
      <c r="L60" s="22"/>
      <c r="M60" s="22"/>
      <c r="N60" s="163">
        <v>3586500</v>
      </c>
      <c r="O60" s="112">
        <f>N60-P60-Q60</f>
        <v>537975</v>
      </c>
      <c r="P60" s="112">
        <v>3048525</v>
      </c>
      <c r="Q60" s="112">
        <v>0</v>
      </c>
      <c r="R60" s="112">
        <v>3586500</v>
      </c>
      <c r="S60" s="112">
        <f>N60-R60</f>
        <v>0</v>
      </c>
      <c r="T60" s="112">
        <v>2597815.48</v>
      </c>
      <c r="U60" s="112">
        <v>2263959.5</v>
      </c>
    </row>
    <row r="61" spans="1:21" ht="21.9" customHeight="1" x14ac:dyDescent="0.5">
      <c r="A61" s="76"/>
      <c r="B61" s="182" t="s">
        <v>62</v>
      </c>
      <c r="C61" s="182"/>
      <c r="D61" s="182"/>
      <c r="E61" s="182"/>
      <c r="F61" s="182"/>
      <c r="G61" s="107"/>
      <c r="H61" s="78"/>
      <c r="I61" s="122"/>
      <c r="J61" s="80"/>
      <c r="K61" s="153"/>
      <c r="L61" s="79"/>
      <c r="M61" s="79"/>
      <c r="N61" s="62">
        <f>SUM(N60:N60)</f>
        <v>3586500</v>
      </c>
      <c r="O61" s="36">
        <f>N61-P61-Q61</f>
        <v>537975</v>
      </c>
      <c r="P61" s="36">
        <f>SUM(P60:P60)</f>
        <v>3048525</v>
      </c>
      <c r="Q61" s="36">
        <f>SUM(Q60:Q60)</f>
        <v>0</v>
      </c>
      <c r="R61" s="35"/>
      <c r="S61" s="35"/>
      <c r="T61" s="35">
        <f>SUM(T60:T60)</f>
        <v>2597815.48</v>
      </c>
      <c r="U61" s="35">
        <f>SUM(U60:U60)</f>
        <v>2263959.5</v>
      </c>
    </row>
    <row r="62" spans="1:21" ht="21.9" customHeight="1" x14ac:dyDescent="0.5">
      <c r="A62" s="113"/>
      <c r="B62" s="192" t="s">
        <v>171</v>
      </c>
      <c r="C62" s="192"/>
      <c r="D62" s="192"/>
      <c r="E62" s="192"/>
      <c r="F62" s="192"/>
      <c r="G62" s="193"/>
      <c r="H62" s="194"/>
      <c r="I62" s="192"/>
      <c r="J62" s="195"/>
      <c r="K62" s="196"/>
      <c r="L62" s="197"/>
      <c r="M62" s="197"/>
      <c r="N62" s="198"/>
      <c r="O62" s="195"/>
      <c r="P62" s="195"/>
      <c r="Q62" s="195"/>
      <c r="R62" s="195"/>
      <c r="S62" s="195"/>
      <c r="T62" s="195"/>
      <c r="U62" s="195"/>
    </row>
    <row r="63" spans="1:21" ht="27.6" customHeight="1" x14ac:dyDescent="0.5">
      <c r="A63" s="17">
        <v>45</v>
      </c>
      <c r="B63" s="32" t="s">
        <v>319</v>
      </c>
      <c r="C63" s="19" t="s">
        <v>172</v>
      </c>
      <c r="D63" s="20" t="s">
        <v>173</v>
      </c>
      <c r="E63" s="20" t="s">
        <v>174</v>
      </c>
      <c r="F63" s="20" t="s">
        <v>174</v>
      </c>
      <c r="G63" s="63">
        <v>100</v>
      </c>
      <c r="H63" s="64">
        <v>46203</v>
      </c>
      <c r="I63" s="21" t="s">
        <v>16</v>
      </c>
      <c r="J63" s="22">
        <v>44.704287999999998</v>
      </c>
      <c r="K63" s="149">
        <v>10.6244</v>
      </c>
      <c r="L63" s="22"/>
      <c r="M63" s="22"/>
      <c r="N63" s="60">
        <v>858381</v>
      </c>
      <c r="O63" s="23">
        <f t="shared" ref="O63:O65" si="12">N63-P63-Q63</f>
        <v>0</v>
      </c>
      <c r="P63" s="23">
        <v>858381</v>
      </c>
      <c r="Q63" s="23">
        <v>0</v>
      </c>
      <c r="R63" s="23">
        <v>563233.53</v>
      </c>
      <c r="S63" s="24">
        <f t="shared" ref="S63:S64" si="13">N63-R63</f>
        <v>295147.46999999997</v>
      </c>
      <c r="T63" s="23">
        <v>563233.53</v>
      </c>
      <c r="U63" s="23">
        <v>563233.53</v>
      </c>
    </row>
    <row r="64" spans="1:21" ht="25.35" customHeight="1" x14ac:dyDescent="0.5">
      <c r="A64" s="17">
        <v>46</v>
      </c>
      <c r="B64" s="32" t="s">
        <v>319</v>
      </c>
      <c r="C64" s="19" t="s">
        <v>175</v>
      </c>
      <c r="D64" s="20" t="s">
        <v>176</v>
      </c>
      <c r="E64" s="20" t="s">
        <v>174</v>
      </c>
      <c r="F64" s="20" t="s">
        <v>174</v>
      </c>
      <c r="G64" s="63">
        <v>100</v>
      </c>
      <c r="H64" s="64">
        <v>46203</v>
      </c>
      <c r="I64" s="26" t="s">
        <v>177</v>
      </c>
      <c r="J64" s="22">
        <v>44.6892</v>
      </c>
      <c r="K64" s="149">
        <v>10.724</v>
      </c>
      <c r="L64" s="22"/>
      <c r="M64" s="22"/>
      <c r="N64" s="60">
        <v>2087716</v>
      </c>
      <c r="O64" s="23">
        <f t="shared" si="12"/>
        <v>0</v>
      </c>
      <c r="P64" s="23">
        <v>2087716</v>
      </c>
      <c r="Q64" s="23">
        <v>0</v>
      </c>
      <c r="R64" s="23">
        <v>643249.4</v>
      </c>
      <c r="S64" s="24">
        <f t="shared" si="13"/>
        <v>1444466.6</v>
      </c>
      <c r="T64" s="23">
        <v>633985.77</v>
      </c>
      <c r="U64" s="23">
        <v>633985.77</v>
      </c>
    </row>
    <row r="65" spans="1:21" ht="32.1" customHeight="1" x14ac:dyDescent="0.5">
      <c r="A65" s="17"/>
      <c r="B65" s="47" t="s">
        <v>62</v>
      </c>
      <c r="C65" s="47"/>
      <c r="D65" s="20"/>
      <c r="E65" s="20"/>
      <c r="F65" s="20"/>
      <c r="G65" s="63"/>
      <c r="H65" s="65"/>
      <c r="I65" s="20"/>
      <c r="J65" s="39"/>
      <c r="K65" s="150"/>
      <c r="L65" s="39"/>
      <c r="M65" s="39"/>
      <c r="N65" s="62">
        <f>SUM(N63:N64)</f>
        <v>2946097</v>
      </c>
      <c r="O65" s="36">
        <f t="shared" si="12"/>
        <v>0</v>
      </c>
      <c r="P65" s="36">
        <f>SUM(P63:P64)</f>
        <v>2946097</v>
      </c>
      <c r="Q65" s="36">
        <f>SUM(Q63:Q64)</f>
        <v>0</v>
      </c>
      <c r="R65" s="35"/>
      <c r="S65" s="35"/>
      <c r="T65" s="35">
        <f>SUM(T63:T64)</f>
        <v>1197219.3</v>
      </c>
      <c r="U65" s="35">
        <f>SUM(U63:U64)</f>
        <v>1197219.3</v>
      </c>
    </row>
    <row r="66" spans="1:21" ht="20.100000000000001" customHeight="1" x14ac:dyDescent="0.5">
      <c r="A66" s="17"/>
      <c r="B66" s="199" t="s">
        <v>178</v>
      </c>
      <c r="C66" s="199"/>
      <c r="D66" s="199"/>
      <c r="E66" s="199"/>
      <c r="F66" s="199"/>
      <c r="G66" s="200"/>
      <c r="H66" s="201"/>
      <c r="I66" s="199"/>
      <c r="J66" s="202"/>
      <c r="K66" s="203"/>
      <c r="L66" s="197"/>
      <c r="M66" s="197"/>
      <c r="N66" s="204"/>
      <c r="O66" s="202"/>
      <c r="P66" s="202"/>
      <c r="Q66" s="202"/>
      <c r="R66" s="202"/>
      <c r="S66" s="202"/>
      <c r="T66" s="202"/>
      <c r="U66" s="202"/>
    </row>
    <row r="67" spans="1:21" ht="39.75" customHeight="1" x14ac:dyDescent="0.5">
      <c r="A67" s="17">
        <v>47</v>
      </c>
      <c r="B67" s="40" t="s">
        <v>320</v>
      </c>
      <c r="C67" s="19" t="s">
        <v>337</v>
      </c>
      <c r="D67" s="20" t="s">
        <v>180</v>
      </c>
      <c r="E67" s="20" t="s">
        <v>15</v>
      </c>
      <c r="F67" s="20" t="s">
        <v>15</v>
      </c>
      <c r="G67" s="67" t="s">
        <v>182</v>
      </c>
      <c r="H67" s="64"/>
      <c r="I67" s="21" t="s">
        <v>181</v>
      </c>
      <c r="J67" s="22">
        <v>44.680999999999997</v>
      </c>
      <c r="K67" s="149">
        <v>10.6637</v>
      </c>
      <c r="L67" s="22"/>
      <c r="M67" s="22"/>
      <c r="N67" s="60">
        <v>350000</v>
      </c>
      <c r="O67" s="23">
        <f t="shared" ref="O67:O75" si="14">N67-P67-Q67</f>
        <v>0</v>
      </c>
      <c r="P67" s="23">
        <v>350000</v>
      </c>
      <c r="Q67" s="23">
        <v>0</v>
      </c>
      <c r="R67" s="23">
        <v>350000</v>
      </c>
      <c r="S67" s="23">
        <v>0</v>
      </c>
      <c r="T67" s="23">
        <v>340588.53</v>
      </c>
      <c r="U67" s="23">
        <v>340588.53</v>
      </c>
    </row>
    <row r="68" spans="1:21" ht="47.85" customHeight="1" x14ac:dyDescent="0.5">
      <c r="A68" s="17">
        <v>48</v>
      </c>
      <c r="B68" s="40" t="s">
        <v>320</v>
      </c>
      <c r="C68" s="19" t="s">
        <v>338</v>
      </c>
      <c r="D68" s="20" t="s">
        <v>184</v>
      </c>
      <c r="E68" s="20" t="s">
        <v>23</v>
      </c>
      <c r="F68" s="20" t="s">
        <v>15</v>
      </c>
      <c r="G68" s="63">
        <v>100</v>
      </c>
      <c r="H68" s="65"/>
      <c r="I68" s="43" t="s">
        <v>185</v>
      </c>
      <c r="J68" s="22">
        <v>44.69867</v>
      </c>
      <c r="K68" s="149">
        <v>10.61177</v>
      </c>
      <c r="L68" s="22"/>
      <c r="M68" s="22"/>
      <c r="N68" s="60">
        <v>356488.01</v>
      </c>
      <c r="O68" s="23">
        <f t="shared" si="14"/>
        <v>9.0949470177292824E-12</v>
      </c>
      <c r="P68" s="23">
        <v>350000</v>
      </c>
      <c r="Q68" s="23">
        <v>6488.01</v>
      </c>
      <c r="R68" s="23">
        <v>344592.89</v>
      </c>
      <c r="S68" s="23">
        <f>N68-R68</f>
        <v>11895.119999999995</v>
      </c>
      <c r="T68" s="23">
        <v>344592.89</v>
      </c>
      <c r="U68" s="23">
        <v>344592.89</v>
      </c>
    </row>
    <row r="69" spans="1:21" ht="50.4" customHeight="1" x14ac:dyDescent="0.5">
      <c r="A69" s="17">
        <v>49</v>
      </c>
      <c r="B69" s="40" t="s">
        <v>320</v>
      </c>
      <c r="C69" s="174" t="s">
        <v>186</v>
      </c>
      <c r="D69" s="175" t="s">
        <v>187</v>
      </c>
      <c r="E69" s="175" t="s">
        <v>188</v>
      </c>
      <c r="F69" s="175" t="s">
        <v>15</v>
      </c>
      <c r="G69" s="176" t="s">
        <v>58</v>
      </c>
      <c r="H69" s="177" t="s">
        <v>58</v>
      </c>
      <c r="I69" s="175"/>
      <c r="J69" s="178">
        <v>44.698999999999998</v>
      </c>
      <c r="K69" s="179">
        <v>10.623900000000001</v>
      </c>
      <c r="L69" s="178"/>
      <c r="M69" s="178"/>
      <c r="N69" s="180">
        <v>245000</v>
      </c>
      <c r="O69" s="181">
        <f t="shared" si="14"/>
        <v>45000</v>
      </c>
      <c r="P69" s="181">
        <v>200000</v>
      </c>
      <c r="Q69" s="181">
        <v>0</v>
      </c>
      <c r="R69" s="48"/>
      <c r="S69" s="48"/>
      <c r="T69" s="48">
        <v>9389.1200000000008</v>
      </c>
      <c r="U69" s="48">
        <v>9389.1200000000008</v>
      </c>
    </row>
    <row r="70" spans="1:21" ht="34.799999999999997" x14ac:dyDescent="0.5">
      <c r="A70" s="17">
        <v>50</v>
      </c>
      <c r="B70" s="49" t="s">
        <v>323</v>
      </c>
      <c r="C70" s="19" t="s">
        <v>189</v>
      </c>
      <c r="D70" s="20" t="s">
        <v>190</v>
      </c>
      <c r="E70" s="20" t="s">
        <v>191</v>
      </c>
      <c r="F70" s="20" t="s">
        <v>192</v>
      </c>
      <c r="G70" s="67" t="s">
        <v>182</v>
      </c>
      <c r="H70" s="65"/>
      <c r="I70" s="43" t="s">
        <v>193</v>
      </c>
      <c r="J70" s="22">
        <v>44.7194</v>
      </c>
      <c r="K70" s="149">
        <v>10.6797</v>
      </c>
      <c r="L70" s="22"/>
      <c r="M70" s="22"/>
      <c r="N70" s="60">
        <v>140000</v>
      </c>
      <c r="O70" s="23">
        <f t="shared" si="14"/>
        <v>0</v>
      </c>
      <c r="P70" s="23">
        <v>140000</v>
      </c>
      <c r="Q70" s="23">
        <v>0</v>
      </c>
      <c r="R70" s="23">
        <v>140000</v>
      </c>
      <c r="S70" s="23">
        <v>0</v>
      </c>
      <c r="T70" s="23">
        <v>137470.57999999999</v>
      </c>
      <c r="U70" s="23">
        <v>137470.57999999999</v>
      </c>
    </row>
    <row r="71" spans="1:21" ht="25.35" customHeight="1" x14ac:dyDescent="0.5">
      <c r="A71" s="17">
        <v>51</v>
      </c>
      <c r="B71" s="49" t="s">
        <v>323</v>
      </c>
      <c r="C71" s="19" t="s">
        <v>194</v>
      </c>
      <c r="D71" s="20" t="s">
        <v>195</v>
      </c>
      <c r="E71" s="20" t="s">
        <v>45</v>
      </c>
      <c r="F71" s="20" t="s">
        <v>45</v>
      </c>
      <c r="G71" s="63">
        <v>100</v>
      </c>
      <c r="H71" s="65"/>
      <c r="I71" s="21" t="s">
        <v>196</v>
      </c>
      <c r="J71" s="22">
        <v>44.72437</v>
      </c>
      <c r="K71" s="149">
        <v>10.63161</v>
      </c>
      <c r="L71" s="22"/>
      <c r="M71" s="22"/>
      <c r="N71" s="60">
        <v>225000</v>
      </c>
      <c r="O71" s="23">
        <f t="shared" si="14"/>
        <v>0</v>
      </c>
      <c r="P71" s="23">
        <v>225000</v>
      </c>
      <c r="Q71" s="23">
        <v>0</v>
      </c>
      <c r="R71" s="23">
        <v>219611.9</v>
      </c>
      <c r="S71" s="23">
        <f t="shared" ref="S71:S73" si="15">N71-R71</f>
        <v>5388.1000000000058</v>
      </c>
      <c r="T71" s="23">
        <v>219611.9</v>
      </c>
      <c r="U71" s="23">
        <v>219611.9</v>
      </c>
    </row>
    <row r="72" spans="1:21" ht="28.95" customHeight="1" x14ac:dyDescent="0.5">
      <c r="A72" s="17">
        <v>52</v>
      </c>
      <c r="B72" s="49" t="s">
        <v>323</v>
      </c>
      <c r="C72" s="19" t="s">
        <v>197</v>
      </c>
      <c r="D72" s="20" t="s">
        <v>198</v>
      </c>
      <c r="E72" s="20" t="s">
        <v>45</v>
      </c>
      <c r="F72" s="20" t="s">
        <v>45</v>
      </c>
      <c r="G72" s="63">
        <v>100</v>
      </c>
      <c r="H72" s="65"/>
      <c r="I72" s="21" t="s">
        <v>196</v>
      </c>
      <c r="J72" s="22">
        <v>44.72437</v>
      </c>
      <c r="K72" s="149">
        <v>10.63161</v>
      </c>
      <c r="L72" s="22"/>
      <c r="M72" s="22"/>
      <c r="N72" s="60">
        <v>150000</v>
      </c>
      <c r="O72" s="23">
        <f t="shared" si="14"/>
        <v>0</v>
      </c>
      <c r="P72" s="23">
        <v>150000</v>
      </c>
      <c r="Q72" s="23">
        <v>0</v>
      </c>
      <c r="R72" s="23">
        <v>147440.66</v>
      </c>
      <c r="S72" s="23">
        <f t="shared" si="15"/>
        <v>2559.3399999999965</v>
      </c>
      <c r="T72" s="23">
        <v>147440.66</v>
      </c>
      <c r="U72" s="23">
        <v>147440.66</v>
      </c>
    </row>
    <row r="73" spans="1:21" ht="25.35" customHeight="1" x14ac:dyDescent="0.5">
      <c r="A73" s="17">
        <v>53</v>
      </c>
      <c r="B73" s="49" t="s">
        <v>323</v>
      </c>
      <c r="C73" s="19" t="s">
        <v>199</v>
      </c>
      <c r="D73" s="20" t="s">
        <v>200</v>
      </c>
      <c r="E73" s="20" t="s">
        <v>201</v>
      </c>
      <c r="F73" s="20" t="s">
        <v>201</v>
      </c>
      <c r="G73" s="63">
        <v>100</v>
      </c>
      <c r="H73" s="65"/>
      <c r="I73" s="21" t="s">
        <v>196</v>
      </c>
      <c r="J73" s="22">
        <v>44.72437</v>
      </c>
      <c r="K73" s="149">
        <v>10.63161</v>
      </c>
      <c r="L73" s="22"/>
      <c r="M73" s="22"/>
      <c r="N73" s="60">
        <v>100000</v>
      </c>
      <c r="O73" s="23">
        <f t="shared" si="14"/>
        <v>0</v>
      </c>
      <c r="P73" s="23">
        <v>100000</v>
      </c>
      <c r="Q73" s="23">
        <v>0</v>
      </c>
      <c r="R73" s="23">
        <v>98132.37</v>
      </c>
      <c r="S73" s="23">
        <f t="shared" si="15"/>
        <v>1867.6300000000047</v>
      </c>
      <c r="T73" s="23">
        <v>96862.05</v>
      </c>
      <c r="U73" s="23">
        <v>96862.05</v>
      </c>
    </row>
    <row r="74" spans="1:21" ht="23.85" customHeight="1" x14ac:dyDescent="0.5">
      <c r="A74" s="17">
        <v>54</v>
      </c>
      <c r="B74" s="49" t="s">
        <v>323</v>
      </c>
      <c r="C74" s="19" t="s">
        <v>202</v>
      </c>
      <c r="D74" s="20" t="s">
        <v>203</v>
      </c>
      <c r="E74" s="20" t="s">
        <v>201</v>
      </c>
      <c r="F74" s="20" t="s">
        <v>201</v>
      </c>
      <c r="G74" s="63">
        <v>100</v>
      </c>
      <c r="H74" s="65"/>
      <c r="I74" s="43" t="s">
        <v>204</v>
      </c>
      <c r="J74" s="22">
        <v>44.6892</v>
      </c>
      <c r="K74" s="149">
        <v>10.724</v>
      </c>
      <c r="L74" s="22"/>
      <c r="M74" s="22"/>
      <c r="N74" s="60">
        <v>30000</v>
      </c>
      <c r="O74" s="23">
        <f t="shared" si="14"/>
        <v>0</v>
      </c>
      <c r="P74" s="23">
        <v>30000</v>
      </c>
      <c r="Q74" s="23">
        <v>0</v>
      </c>
      <c r="R74" s="23">
        <v>29999.8</v>
      </c>
      <c r="S74" s="23">
        <v>0.2</v>
      </c>
      <c r="T74" s="23">
        <v>29999.8</v>
      </c>
      <c r="U74" s="23">
        <v>29999.8</v>
      </c>
    </row>
    <row r="75" spans="1:21" ht="21" customHeight="1" x14ac:dyDescent="0.5">
      <c r="A75" s="17">
        <v>55</v>
      </c>
      <c r="B75" s="49" t="s">
        <v>323</v>
      </c>
      <c r="C75" s="19" t="s">
        <v>205</v>
      </c>
      <c r="D75" s="20" t="s">
        <v>206</v>
      </c>
      <c r="E75" s="20" t="s">
        <v>201</v>
      </c>
      <c r="F75" s="20" t="s">
        <v>201</v>
      </c>
      <c r="G75" s="63">
        <v>100</v>
      </c>
      <c r="H75" s="65"/>
      <c r="I75" s="21" t="s">
        <v>207</v>
      </c>
      <c r="J75" s="22">
        <v>44.7288</v>
      </c>
      <c r="K75" s="149">
        <v>10.574199999999999</v>
      </c>
      <c r="L75" s="22"/>
      <c r="M75" s="22"/>
      <c r="N75" s="60">
        <v>30000</v>
      </c>
      <c r="O75" s="23">
        <f t="shared" si="14"/>
        <v>0</v>
      </c>
      <c r="P75" s="23">
        <v>30000</v>
      </c>
      <c r="Q75" s="23">
        <v>0</v>
      </c>
      <c r="R75" s="23">
        <v>29999.8</v>
      </c>
      <c r="S75" s="23">
        <v>0.2</v>
      </c>
      <c r="T75" s="23">
        <v>29999.8</v>
      </c>
      <c r="U75" s="23">
        <v>29999.8</v>
      </c>
    </row>
    <row r="76" spans="1:21" ht="35.4" customHeight="1" x14ac:dyDescent="0.5">
      <c r="A76" s="17"/>
      <c r="B76" s="33" t="s">
        <v>62</v>
      </c>
      <c r="C76" s="33"/>
      <c r="D76" s="20"/>
      <c r="F76" s="20"/>
      <c r="G76" s="68"/>
      <c r="H76" s="65"/>
      <c r="I76" s="20"/>
      <c r="J76" s="39"/>
      <c r="K76" s="150"/>
      <c r="L76" s="39"/>
      <c r="M76" s="39"/>
      <c r="N76" s="62">
        <f t="shared" ref="N76:U76" si="16">SUM(N67:N75)</f>
        <v>1626488.01</v>
      </c>
      <c r="O76" s="36">
        <f t="shared" si="16"/>
        <v>45000.000000000007</v>
      </c>
      <c r="P76" s="36">
        <f t="shared" si="16"/>
        <v>1575000</v>
      </c>
      <c r="Q76" s="36">
        <f t="shared" si="16"/>
        <v>6488.01</v>
      </c>
      <c r="R76" s="36">
        <f t="shared" si="16"/>
        <v>1359777.42</v>
      </c>
      <c r="S76" s="36">
        <f t="shared" si="16"/>
        <v>21710.590000000004</v>
      </c>
      <c r="T76" s="36">
        <f t="shared" si="16"/>
        <v>1355955.33</v>
      </c>
      <c r="U76" s="36">
        <f t="shared" si="16"/>
        <v>1355955.33</v>
      </c>
    </row>
    <row r="77" spans="1:21" ht="20.100000000000001" customHeight="1" x14ac:dyDescent="0.5">
      <c r="A77" s="17"/>
      <c r="B77" s="199" t="s">
        <v>208</v>
      </c>
      <c r="C77" s="199"/>
      <c r="D77" s="199"/>
      <c r="E77" s="199"/>
      <c r="F77" s="199"/>
      <c r="G77" s="200"/>
      <c r="H77" s="201"/>
      <c r="I77" s="199"/>
      <c r="J77" s="202"/>
      <c r="K77" s="203"/>
      <c r="L77" s="197"/>
      <c r="M77" s="197"/>
      <c r="N77" s="204"/>
      <c r="O77" s="202"/>
      <c r="P77" s="202"/>
      <c r="Q77" s="202"/>
      <c r="R77" s="202"/>
      <c r="S77" s="202"/>
      <c r="T77" s="202"/>
      <c r="U77" s="202"/>
    </row>
    <row r="78" spans="1:21" ht="45.75" customHeight="1" x14ac:dyDescent="0.5">
      <c r="A78" s="17">
        <v>56</v>
      </c>
      <c r="B78" s="40" t="s">
        <v>320</v>
      </c>
      <c r="C78" s="19" t="s">
        <v>339</v>
      </c>
      <c r="D78" s="20" t="s">
        <v>210</v>
      </c>
      <c r="E78" s="20" t="s">
        <v>99</v>
      </c>
      <c r="F78" s="20" t="s">
        <v>99</v>
      </c>
      <c r="G78" s="63">
        <v>100</v>
      </c>
      <c r="H78" s="65"/>
      <c r="I78" s="43" t="s">
        <v>211</v>
      </c>
      <c r="J78" s="22">
        <v>44.685400000000001</v>
      </c>
      <c r="K78" s="149">
        <v>10.618</v>
      </c>
      <c r="L78" s="22"/>
      <c r="M78" s="22"/>
      <c r="N78" s="60">
        <v>240000</v>
      </c>
      <c r="O78" s="23">
        <f t="shared" ref="O78:O84" si="17">N78-P78-Q78</f>
        <v>30000</v>
      </c>
      <c r="P78" s="23">
        <v>210000</v>
      </c>
      <c r="Q78" s="23">
        <v>0</v>
      </c>
      <c r="R78" s="23">
        <v>239558.8</v>
      </c>
      <c r="S78" s="23">
        <v>441.2</v>
      </c>
      <c r="T78" s="23">
        <v>239558.8</v>
      </c>
      <c r="U78" s="23">
        <v>210000</v>
      </c>
    </row>
    <row r="79" spans="1:21" ht="25.35" customHeight="1" x14ac:dyDescent="0.5">
      <c r="A79" s="17">
        <v>57</v>
      </c>
      <c r="B79" s="32" t="s">
        <v>319</v>
      </c>
      <c r="C79" s="19" t="s">
        <v>212</v>
      </c>
      <c r="D79" s="20" t="s">
        <v>213</v>
      </c>
      <c r="E79" s="20" t="s">
        <v>214</v>
      </c>
      <c r="F79" s="20" t="s">
        <v>192</v>
      </c>
      <c r="G79" s="63">
        <v>100</v>
      </c>
      <c r="H79" s="65"/>
      <c r="I79" s="21" t="s">
        <v>519</v>
      </c>
      <c r="J79" s="50"/>
      <c r="K79" s="154"/>
      <c r="L79" s="22"/>
      <c r="M79" s="22"/>
      <c r="N79" s="60">
        <v>210000</v>
      </c>
      <c r="O79" s="23">
        <f t="shared" si="17"/>
        <v>0</v>
      </c>
      <c r="P79" s="23">
        <v>210000</v>
      </c>
      <c r="Q79" s="23">
        <v>0</v>
      </c>
      <c r="R79" s="23">
        <v>209322.78</v>
      </c>
      <c r="S79" s="23">
        <v>677.22</v>
      </c>
      <c r="T79" s="23">
        <v>209322.78</v>
      </c>
      <c r="U79" s="23">
        <v>209322.78</v>
      </c>
    </row>
    <row r="80" spans="1:21" ht="25.35" customHeight="1" x14ac:dyDescent="0.5">
      <c r="A80" s="17">
        <v>58</v>
      </c>
      <c r="B80" s="32" t="s">
        <v>319</v>
      </c>
      <c r="C80" s="19" t="s">
        <v>216</v>
      </c>
      <c r="D80" s="20" t="s">
        <v>217</v>
      </c>
      <c r="E80" s="20" t="s">
        <v>214</v>
      </c>
      <c r="F80" s="20" t="s">
        <v>192</v>
      </c>
      <c r="G80" s="63">
        <v>100</v>
      </c>
      <c r="H80" s="65"/>
      <c r="I80" s="21" t="s">
        <v>520</v>
      </c>
      <c r="J80" s="22"/>
      <c r="K80" s="149"/>
      <c r="L80" s="22"/>
      <c r="M80" s="22"/>
      <c r="N80" s="60">
        <v>210000</v>
      </c>
      <c r="O80" s="23">
        <f t="shared" si="17"/>
        <v>0</v>
      </c>
      <c r="P80" s="23">
        <v>210000</v>
      </c>
      <c r="Q80" s="23">
        <v>0</v>
      </c>
      <c r="R80" s="23">
        <v>208460.89</v>
      </c>
      <c r="S80" s="23">
        <v>1539.11</v>
      </c>
      <c r="T80" s="23">
        <v>208460.89</v>
      </c>
      <c r="U80" s="23">
        <v>208460.89</v>
      </c>
    </row>
    <row r="81" spans="1:21" ht="44.85" customHeight="1" x14ac:dyDescent="0.5">
      <c r="A81" s="17">
        <v>59</v>
      </c>
      <c r="B81" s="32" t="s">
        <v>319</v>
      </c>
      <c r="C81" s="19" t="s">
        <v>218</v>
      </c>
      <c r="D81" s="20" t="s">
        <v>219</v>
      </c>
      <c r="E81" s="20" t="s">
        <v>37</v>
      </c>
      <c r="F81" s="20" t="s">
        <v>37</v>
      </c>
      <c r="G81" s="67" t="s">
        <v>182</v>
      </c>
      <c r="H81" s="65"/>
      <c r="I81" s="21" t="s">
        <v>521</v>
      </c>
      <c r="J81" s="22"/>
      <c r="K81" s="149"/>
      <c r="L81" s="22"/>
      <c r="M81" s="22"/>
      <c r="N81" s="60">
        <v>210000</v>
      </c>
      <c r="O81" s="23">
        <f t="shared" si="17"/>
        <v>0</v>
      </c>
      <c r="P81" s="23">
        <v>210000</v>
      </c>
      <c r="Q81" s="23">
        <v>0</v>
      </c>
      <c r="R81" s="23">
        <v>169933.63</v>
      </c>
      <c r="S81" s="23">
        <v>40066.370000000003</v>
      </c>
      <c r="T81" s="23">
        <v>169933.63</v>
      </c>
      <c r="U81" s="23">
        <v>169933.63</v>
      </c>
    </row>
    <row r="82" spans="1:21" ht="25.95" customHeight="1" x14ac:dyDescent="0.5">
      <c r="A82" s="17">
        <v>60</v>
      </c>
      <c r="B82" s="32" t="s">
        <v>319</v>
      </c>
      <c r="C82" s="19" t="s">
        <v>221</v>
      </c>
      <c r="D82" s="20" t="s">
        <v>222</v>
      </c>
      <c r="E82" s="20" t="s">
        <v>223</v>
      </c>
      <c r="F82" s="20" t="s">
        <v>15</v>
      </c>
      <c r="G82" s="63">
        <v>100</v>
      </c>
      <c r="H82" s="65"/>
      <c r="I82" s="43" t="s">
        <v>224</v>
      </c>
      <c r="J82" s="22">
        <v>44.701301000000001</v>
      </c>
      <c r="K82" s="149">
        <v>10.645153000000001</v>
      </c>
      <c r="L82" s="22"/>
      <c r="M82" s="22"/>
      <c r="N82" s="60">
        <v>236975.92</v>
      </c>
      <c r="O82" s="23">
        <f t="shared" si="17"/>
        <v>26975.920000000013</v>
      </c>
      <c r="P82" s="23">
        <v>210000</v>
      </c>
      <c r="Q82" s="23">
        <v>0</v>
      </c>
      <c r="R82" s="23">
        <v>229179.9</v>
      </c>
      <c r="S82" s="23">
        <v>7796.02</v>
      </c>
      <c r="T82" s="23">
        <v>227179.9</v>
      </c>
      <c r="U82" s="23">
        <v>200203.98</v>
      </c>
    </row>
    <row r="83" spans="1:21" ht="25.35" customHeight="1" x14ac:dyDescent="0.5">
      <c r="A83" s="17">
        <v>61</v>
      </c>
      <c r="B83" s="32" t="s">
        <v>319</v>
      </c>
      <c r="C83" s="19" t="s">
        <v>225</v>
      </c>
      <c r="D83" s="20" t="s">
        <v>226</v>
      </c>
      <c r="E83" s="20" t="s">
        <v>223</v>
      </c>
      <c r="F83" s="20" t="s">
        <v>15</v>
      </c>
      <c r="G83" s="67" t="s">
        <v>182</v>
      </c>
      <c r="H83" s="65"/>
      <c r="I83" s="43" t="s">
        <v>227</v>
      </c>
      <c r="J83" s="22">
        <v>44.701301000000001</v>
      </c>
      <c r="K83" s="149">
        <v>10.645153000000001</v>
      </c>
      <c r="L83" s="22"/>
      <c r="M83" s="22"/>
      <c r="N83" s="60">
        <v>210000</v>
      </c>
      <c r="O83" s="23">
        <f t="shared" si="17"/>
        <v>0</v>
      </c>
      <c r="P83" s="23">
        <v>210000</v>
      </c>
      <c r="Q83" s="23">
        <v>0</v>
      </c>
      <c r="R83" s="23">
        <v>210000</v>
      </c>
      <c r="S83" s="23">
        <v>0</v>
      </c>
      <c r="T83" s="37">
        <v>189057.23</v>
      </c>
      <c r="U83" s="23">
        <v>189057.23</v>
      </c>
    </row>
    <row r="84" spans="1:21" ht="38.25" customHeight="1" x14ac:dyDescent="0.5">
      <c r="A84" s="17"/>
      <c r="B84" s="33" t="s">
        <v>62</v>
      </c>
      <c r="C84" s="33"/>
      <c r="D84" s="33"/>
      <c r="E84" s="33"/>
      <c r="F84" s="33"/>
      <c r="G84" s="63"/>
      <c r="H84" s="65"/>
      <c r="I84" s="33"/>
      <c r="J84" s="34"/>
      <c r="K84" s="151"/>
      <c r="L84" s="96"/>
      <c r="M84" s="96"/>
      <c r="N84" s="62">
        <f>SUM(N78:N83)</f>
        <v>1316975.92</v>
      </c>
      <c r="O84" s="36">
        <f t="shared" si="17"/>
        <v>56975.919999999925</v>
      </c>
      <c r="P84" s="36">
        <f>SUM(P78:P83)</f>
        <v>1260000</v>
      </c>
      <c r="Q84" s="36">
        <f>SUM(Q78:Q83)</f>
        <v>0</v>
      </c>
      <c r="R84" s="36"/>
      <c r="S84" s="36"/>
      <c r="T84" s="36">
        <f>SUM(T78:T83)</f>
        <v>1243513.23</v>
      </c>
      <c r="U84" s="36">
        <f>SUM(U78:U83)</f>
        <v>1186978.51</v>
      </c>
    </row>
    <row r="85" spans="1:21" ht="20.100000000000001" customHeight="1" x14ac:dyDescent="0.5">
      <c r="A85" s="17"/>
      <c r="B85" s="199" t="s">
        <v>228</v>
      </c>
      <c r="C85" s="199"/>
      <c r="D85" s="199"/>
      <c r="E85" s="199"/>
      <c r="F85" s="199"/>
      <c r="G85" s="200"/>
      <c r="H85" s="201"/>
      <c r="I85" s="199"/>
      <c r="J85" s="202"/>
      <c r="K85" s="203"/>
      <c r="L85" s="197"/>
      <c r="M85" s="197"/>
      <c r="N85" s="204"/>
      <c r="O85" s="202"/>
      <c r="P85" s="202"/>
      <c r="Q85" s="202"/>
      <c r="R85" s="202"/>
      <c r="S85" s="202"/>
      <c r="T85" s="202"/>
      <c r="U85" s="202"/>
    </row>
    <row r="86" spans="1:21" ht="25.95" customHeight="1" x14ac:dyDescent="0.5">
      <c r="A86" s="17">
        <v>62</v>
      </c>
      <c r="B86" s="51" t="s">
        <v>324</v>
      </c>
      <c r="C86" s="19" t="s">
        <v>229</v>
      </c>
      <c r="D86" s="20" t="s">
        <v>230</v>
      </c>
      <c r="E86" s="20" t="s">
        <v>231</v>
      </c>
      <c r="F86" s="20" t="s">
        <v>231</v>
      </c>
      <c r="G86" s="63">
        <v>100</v>
      </c>
      <c r="H86" s="87">
        <v>45485</v>
      </c>
      <c r="I86" s="20" t="s">
        <v>297</v>
      </c>
      <c r="J86" s="22">
        <v>44.69829</v>
      </c>
      <c r="K86" s="149">
        <v>10.634130000000001</v>
      </c>
      <c r="L86" s="22"/>
      <c r="M86" s="22"/>
      <c r="N86" s="60">
        <v>9891</v>
      </c>
      <c r="O86" s="23">
        <f t="shared" ref="O86:O87" si="18">N86-P86-Q86</f>
        <v>0</v>
      </c>
      <c r="P86" s="23">
        <v>9891</v>
      </c>
      <c r="Q86" s="23">
        <v>0</v>
      </c>
      <c r="R86" s="23"/>
      <c r="S86" s="23"/>
      <c r="T86" s="23">
        <f t="shared" ref="T86:T87" si="19">P86</f>
        <v>9891</v>
      </c>
      <c r="U86" s="23">
        <v>9891</v>
      </c>
    </row>
    <row r="87" spans="1:21" ht="25.95" customHeight="1" x14ac:dyDescent="0.5">
      <c r="A87" s="17">
        <v>63</v>
      </c>
      <c r="B87" s="51" t="s">
        <v>324</v>
      </c>
      <c r="C87" s="19" t="s">
        <v>232</v>
      </c>
      <c r="D87" s="20" t="s">
        <v>233</v>
      </c>
      <c r="E87" s="20" t="s">
        <v>231</v>
      </c>
      <c r="F87" s="20" t="s">
        <v>231</v>
      </c>
      <c r="G87" s="63">
        <v>100</v>
      </c>
      <c r="H87" s="87">
        <v>46112</v>
      </c>
      <c r="I87" s="20" t="s">
        <v>298</v>
      </c>
      <c r="J87" s="22">
        <v>44.69829</v>
      </c>
      <c r="K87" s="149">
        <v>10.634130000000001</v>
      </c>
      <c r="L87" s="22"/>
      <c r="M87" s="22"/>
      <c r="N87" s="60">
        <v>21980</v>
      </c>
      <c r="O87" s="23">
        <f t="shared" si="18"/>
        <v>0</v>
      </c>
      <c r="P87" s="23">
        <v>21980</v>
      </c>
      <c r="Q87" s="23">
        <v>0</v>
      </c>
      <c r="R87" s="23"/>
      <c r="S87" s="23"/>
      <c r="T87" s="23">
        <f t="shared" si="19"/>
        <v>21980</v>
      </c>
      <c r="U87" s="23">
        <v>21980</v>
      </c>
    </row>
    <row r="88" spans="1:21" ht="26.85" customHeight="1" x14ac:dyDescent="0.5">
      <c r="A88" s="17">
        <v>64</v>
      </c>
      <c r="B88" s="51" t="s">
        <v>324</v>
      </c>
      <c r="C88" s="19" t="s">
        <v>234</v>
      </c>
      <c r="D88" s="20" t="s">
        <v>235</v>
      </c>
      <c r="E88" s="20" t="s">
        <v>231</v>
      </c>
      <c r="F88" s="20" t="s">
        <v>231</v>
      </c>
      <c r="G88" s="63">
        <v>100</v>
      </c>
      <c r="H88" s="87">
        <v>45199</v>
      </c>
      <c r="I88" s="20" t="s">
        <v>299</v>
      </c>
      <c r="J88" s="22">
        <v>44.69829</v>
      </c>
      <c r="K88" s="149">
        <v>10.634130000000001</v>
      </c>
      <c r="L88" s="22"/>
      <c r="M88" s="22"/>
      <c r="N88" s="60">
        <v>93398</v>
      </c>
      <c r="O88" s="23">
        <f t="shared" ref="O88:O93" si="20">N88-P88-Q88</f>
        <v>0</v>
      </c>
      <c r="P88" s="23">
        <v>93398</v>
      </c>
      <c r="Q88" s="23">
        <v>0</v>
      </c>
      <c r="R88" s="23"/>
      <c r="S88" s="23"/>
      <c r="T88" s="23">
        <f t="shared" ref="T88:T90" si="21">P88</f>
        <v>93398</v>
      </c>
      <c r="U88" s="23">
        <v>93398</v>
      </c>
    </row>
    <row r="89" spans="1:21" ht="25.95" customHeight="1" x14ac:dyDescent="0.5">
      <c r="A89" s="17">
        <v>65</v>
      </c>
      <c r="B89" s="51" t="s">
        <v>324</v>
      </c>
      <c r="C89" s="19" t="s">
        <v>236</v>
      </c>
      <c r="D89" s="20" t="s">
        <v>237</v>
      </c>
      <c r="E89" s="20" t="s">
        <v>231</v>
      </c>
      <c r="F89" s="20" t="s">
        <v>231</v>
      </c>
      <c r="G89" s="63">
        <v>100</v>
      </c>
      <c r="H89" s="87">
        <v>45473</v>
      </c>
      <c r="I89" s="20" t="s">
        <v>300</v>
      </c>
      <c r="J89" s="22">
        <v>44.69829</v>
      </c>
      <c r="K89" s="149">
        <v>10.634130000000001</v>
      </c>
      <c r="L89" s="22"/>
      <c r="M89" s="22"/>
      <c r="N89" s="60">
        <v>35711</v>
      </c>
      <c r="O89" s="23">
        <f t="shared" si="20"/>
        <v>0</v>
      </c>
      <c r="P89" s="23">
        <v>35711</v>
      </c>
      <c r="Q89" s="23">
        <v>0</v>
      </c>
      <c r="R89" s="23"/>
      <c r="S89" s="23"/>
      <c r="T89" s="23">
        <f t="shared" si="21"/>
        <v>35711</v>
      </c>
      <c r="U89" s="23">
        <v>35711</v>
      </c>
    </row>
    <row r="90" spans="1:21" ht="25.95" customHeight="1" x14ac:dyDescent="0.5">
      <c r="A90" s="17">
        <v>66</v>
      </c>
      <c r="B90" s="51" t="s">
        <v>324</v>
      </c>
      <c r="C90" s="19" t="s">
        <v>238</v>
      </c>
      <c r="D90" s="20" t="s">
        <v>239</v>
      </c>
      <c r="E90" s="20" t="s">
        <v>231</v>
      </c>
      <c r="F90" s="20" t="s">
        <v>231</v>
      </c>
      <c r="G90" s="63">
        <v>100</v>
      </c>
      <c r="H90" s="87">
        <v>45107</v>
      </c>
      <c r="I90" s="20" t="s">
        <v>301</v>
      </c>
      <c r="J90" s="22">
        <v>44.69829</v>
      </c>
      <c r="K90" s="149">
        <v>10.634130000000001</v>
      </c>
      <c r="L90" s="22"/>
      <c r="M90" s="22"/>
      <c r="N90" s="60">
        <v>69000</v>
      </c>
      <c r="O90" s="23">
        <f t="shared" si="20"/>
        <v>0</v>
      </c>
      <c r="P90" s="23">
        <v>69000</v>
      </c>
      <c r="Q90" s="23">
        <v>0</v>
      </c>
      <c r="R90" s="23"/>
      <c r="S90" s="23"/>
      <c r="T90" s="23">
        <f t="shared" si="21"/>
        <v>69000</v>
      </c>
      <c r="U90" s="23">
        <v>69000</v>
      </c>
    </row>
    <row r="91" spans="1:21" ht="25.95" customHeight="1" x14ac:dyDescent="0.5">
      <c r="A91" s="17">
        <v>67</v>
      </c>
      <c r="B91" s="51" t="s">
        <v>324</v>
      </c>
      <c r="C91" s="19" t="s">
        <v>240</v>
      </c>
      <c r="D91" s="20" t="s">
        <v>241</v>
      </c>
      <c r="E91" s="20" t="s">
        <v>231</v>
      </c>
      <c r="F91" s="20" t="s">
        <v>231</v>
      </c>
      <c r="G91" s="63">
        <v>100</v>
      </c>
      <c r="H91" s="87">
        <v>46111</v>
      </c>
      <c r="I91" s="20" t="s">
        <v>302</v>
      </c>
      <c r="J91" s="22">
        <v>44.69829</v>
      </c>
      <c r="K91" s="149">
        <v>10.634130000000001</v>
      </c>
      <c r="L91" s="22"/>
      <c r="M91" s="22"/>
      <c r="N91" s="60">
        <v>516323</v>
      </c>
      <c r="O91" s="23">
        <f t="shared" si="20"/>
        <v>0</v>
      </c>
      <c r="P91" s="23">
        <v>516323</v>
      </c>
      <c r="Q91" s="23">
        <v>0</v>
      </c>
      <c r="R91" s="23"/>
      <c r="S91" s="23"/>
      <c r="T91" s="23">
        <v>424895.5</v>
      </c>
      <c r="U91" s="23">
        <v>424895.5</v>
      </c>
    </row>
    <row r="92" spans="1:21" ht="25.95" customHeight="1" x14ac:dyDescent="0.5">
      <c r="A92" s="17">
        <v>68</v>
      </c>
      <c r="B92" s="51" t="s">
        <v>324</v>
      </c>
      <c r="C92" s="19" t="s">
        <v>242</v>
      </c>
      <c r="D92" s="20" t="s">
        <v>243</v>
      </c>
      <c r="E92" s="20" t="s">
        <v>231</v>
      </c>
      <c r="F92" s="20" t="s">
        <v>231</v>
      </c>
      <c r="G92" s="63">
        <v>100</v>
      </c>
      <c r="H92" s="87">
        <v>45777</v>
      </c>
      <c r="I92" s="20" t="s">
        <v>303</v>
      </c>
      <c r="J92" s="22">
        <v>44.69829</v>
      </c>
      <c r="K92" s="149">
        <v>10.634130000000001</v>
      </c>
      <c r="L92" s="22"/>
      <c r="M92" s="22"/>
      <c r="N92" s="60">
        <v>90000</v>
      </c>
      <c r="O92" s="23">
        <f t="shared" si="20"/>
        <v>0</v>
      </c>
      <c r="P92" s="23">
        <v>90000</v>
      </c>
      <c r="Q92" s="23">
        <v>0</v>
      </c>
      <c r="R92" s="23"/>
      <c r="S92" s="23"/>
      <c r="T92" s="23">
        <v>68621.149999999994</v>
      </c>
      <c r="U92" s="23">
        <v>68621.149999999994</v>
      </c>
    </row>
    <row r="93" spans="1:21" ht="25.95" customHeight="1" x14ac:dyDescent="0.5">
      <c r="A93" s="17">
        <v>69</v>
      </c>
      <c r="B93" s="51" t="s">
        <v>324</v>
      </c>
      <c r="C93" s="19" t="s">
        <v>244</v>
      </c>
      <c r="D93" s="20" t="s">
        <v>245</v>
      </c>
      <c r="E93" s="20" t="s">
        <v>231</v>
      </c>
      <c r="F93" s="20" t="s">
        <v>231</v>
      </c>
      <c r="G93" s="63">
        <v>100</v>
      </c>
      <c r="H93" s="87">
        <v>46022</v>
      </c>
      <c r="I93" s="20" t="s">
        <v>304</v>
      </c>
      <c r="J93" s="22">
        <v>44.69829</v>
      </c>
      <c r="K93" s="149">
        <v>10.634130000000001</v>
      </c>
      <c r="L93" s="22"/>
      <c r="M93" s="22"/>
      <c r="N93" s="60">
        <v>19642</v>
      </c>
      <c r="O93" s="23">
        <f t="shared" si="20"/>
        <v>0</v>
      </c>
      <c r="P93" s="23">
        <v>19642</v>
      </c>
      <c r="Q93" s="23">
        <v>0</v>
      </c>
      <c r="R93" s="23"/>
      <c r="S93" s="23"/>
      <c r="T93" s="23">
        <v>0</v>
      </c>
      <c r="U93" s="23">
        <v>0</v>
      </c>
    </row>
    <row r="94" spans="1:21" ht="25.95" customHeight="1" x14ac:dyDescent="0.5">
      <c r="A94" s="17">
        <v>70</v>
      </c>
      <c r="B94" s="51" t="s">
        <v>324</v>
      </c>
      <c r="C94" s="19" t="s">
        <v>246</v>
      </c>
      <c r="D94" s="20" t="s">
        <v>247</v>
      </c>
      <c r="E94" s="20" t="s">
        <v>231</v>
      </c>
      <c r="F94" s="20" t="s">
        <v>231</v>
      </c>
      <c r="G94" s="63">
        <v>100</v>
      </c>
      <c r="H94" s="87">
        <v>45657</v>
      </c>
      <c r="I94" s="20" t="s">
        <v>305</v>
      </c>
      <c r="J94" s="22">
        <v>44.69829</v>
      </c>
      <c r="K94" s="149">
        <v>10.634130000000001</v>
      </c>
      <c r="L94" s="22"/>
      <c r="M94" s="22"/>
      <c r="N94" s="60">
        <v>847074</v>
      </c>
      <c r="O94" s="23">
        <f t="shared" ref="O94:O95" si="22">N94-P94-Q94</f>
        <v>0</v>
      </c>
      <c r="P94" s="23">
        <v>847074</v>
      </c>
      <c r="Q94" s="23">
        <v>0</v>
      </c>
      <c r="R94" s="23"/>
      <c r="S94" s="23"/>
      <c r="T94" s="23">
        <v>807355.96</v>
      </c>
      <c r="U94" s="23">
        <v>807355.96</v>
      </c>
    </row>
    <row r="95" spans="1:21" ht="25.95" customHeight="1" x14ac:dyDescent="0.5">
      <c r="A95" s="17"/>
      <c r="B95" s="51" t="s">
        <v>324</v>
      </c>
      <c r="C95" s="19" t="s">
        <v>248</v>
      </c>
      <c r="D95" s="20" t="s">
        <v>249</v>
      </c>
      <c r="E95" s="20" t="s">
        <v>231</v>
      </c>
      <c r="F95" s="20" t="s">
        <v>231</v>
      </c>
      <c r="G95" s="63">
        <v>100</v>
      </c>
      <c r="H95" s="87">
        <v>45291</v>
      </c>
      <c r="I95" s="20" t="s">
        <v>306</v>
      </c>
      <c r="J95" s="22">
        <v>44.69829</v>
      </c>
      <c r="K95" s="149">
        <v>10.634130000000001</v>
      </c>
      <c r="L95" s="22"/>
      <c r="M95" s="22"/>
      <c r="N95" s="60">
        <v>203435</v>
      </c>
      <c r="O95" s="23">
        <f t="shared" si="22"/>
        <v>0</v>
      </c>
      <c r="P95" s="23">
        <v>203435</v>
      </c>
      <c r="Q95" s="23">
        <v>0</v>
      </c>
      <c r="R95" s="23"/>
      <c r="S95" s="23"/>
      <c r="T95" s="23">
        <f>P95</f>
        <v>203435</v>
      </c>
      <c r="U95" s="23">
        <v>203435</v>
      </c>
    </row>
    <row r="96" spans="1:21" ht="29.7" customHeight="1" x14ac:dyDescent="0.5">
      <c r="A96" s="17">
        <v>71</v>
      </c>
      <c r="B96" s="51" t="s">
        <v>324</v>
      </c>
      <c r="C96" s="19" t="s">
        <v>296</v>
      </c>
      <c r="D96" s="20" t="s">
        <v>250</v>
      </c>
      <c r="E96" s="20"/>
      <c r="F96" s="20" t="s">
        <v>231</v>
      </c>
      <c r="G96" s="63">
        <v>100</v>
      </c>
      <c r="H96" s="87">
        <v>46112</v>
      </c>
      <c r="I96" s="20" t="s">
        <v>307</v>
      </c>
      <c r="J96" s="22">
        <v>44.69829</v>
      </c>
      <c r="K96" s="149">
        <v>10.634130000000001</v>
      </c>
      <c r="L96" s="22"/>
      <c r="M96" s="22"/>
      <c r="N96" s="60">
        <v>73190</v>
      </c>
      <c r="O96" s="23"/>
      <c r="P96" s="23"/>
      <c r="Q96" s="23"/>
      <c r="R96" s="23"/>
      <c r="S96" s="23"/>
      <c r="T96" s="23"/>
      <c r="U96" s="23"/>
    </row>
    <row r="97" spans="1:21" ht="21.9" customHeight="1" x14ac:dyDescent="0.5">
      <c r="A97" s="17">
        <v>72</v>
      </c>
      <c r="B97" s="51" t="s">
        <v>324</v>
      </c>
      <c r="C97" s="19" t="s">
        <v>251</v>
      </c>
      <c r="D97" s="20" t="s">
        <v>252</v>
      </c>
      <c r="E97" s="20" t="s">
        <v>231</v>
      </c>
      <c r="F97" s="20" t="s">
        <v>231</v>
      </c>
      <c r="G97" s="63">
        <v>100</v>
      </c>
      <c r="H97" s="87">
        <v>46022</v>
      </c>
      <c r="I97" s="20" t="s">
        <v>308</v>
      </c>
      <c r="J97" s="22">
        <v>44.69829</v>
      </c>
      <c r="K97" s="149">
        <v>10.634130000000001</v>
      </c>
      <c r="L97" s="22"/>
      <c r="M97" s="22"/>
      <c r="N97" s="60">
        <v>478240</v>
      </c>
      <c r="O97" s="23">
        <f t="shared" ref="O97:O99" si="23">N97-P97-Q97</f>
        <v>0</v>
      </c>
      <c r="P97" s="23">
        <v>478240</v>
      </c>
      <c r="Q97" s="23">
        <v>0</v>
      </c>
      <c r="R97" s="23"/>
      <c r="S97" s="23"/>
      <c r="T97" s="23">
        <v>339870.14</v>
      </c>
      <c r="U97" s="23">
        <v>339870.14</v>
      </c>
    </row>
    <row r="98" spans="1:21" ht="34.799999999999997" x14ac:dyDescent="0.5">
      <c r="A98" s="17">
        <v>73</v>
      </c>
      <c r="B98" s="51" t="s">
        <v>324</v>
      </c>
      <c r="C98" s="19" t="s">
        <v>253</v>
      </c>
      <c r="D98" s="20" t="s">
        <v>254</v>
      </c>
      <c r="E98" s="20" t="s">
        <v>255</v>
      </c>
      <c r="F98" s="20" t="s">
        <v>255</v>
      </c>
      <c r="G98" s="63">
        <v>100</v>
      </c>
      <c r="H98" s="87">
        <v>46142</v>
      </c>
      <c r="I98" s="20" t="s">
        <v>522</v>
      </c>
      <c r="J98" s="39"/>
      <c r="K98" s="150"/>
      <c r="L98" s="39"/>
      <c r="M98" s="39"/>
      <c r="N98" s="60">
        <v>227500</v>
      </c>
      <c r="O98" s="23">
        <f t="shared" si="23"/>
        <v>0</v>
      </c>
      <c r="P98" s="23">
        <v>227500</v>
      </c>
      <c r="Q98" s="23">
        <v>0</v>
      </c>
      <c r="R98" s="23"/>
      <c r="S98" s="23"/>
      <c r="T98" s="23">
        <v>227500</v>
      </c>
      <c r="U98" s="23">
        <v>227500</v>
      </c>
    </row>
    <row r="99" spans="1:21" ht="26.85" customHeight="1" x14ac:dyDescent="0.5">
      <c r="A99" s="17">
        <v>74</v>
      </c>
      <c r="B99" s="51" t="s">
        <v>324</v>
      </c>
      <c r="C99" s="19" t="s">
        <v>256</v>
      </c>
      <c r="D99" s="20" t="s">
        <v>257</v>
      </c>
      <c r="E99" s="20" t="s">
        <v>231</v>
      </c>
      <c r="F99" s="20" t="s">
        <v>231</v>
      </c>
      <c r="G99" s="63">
        <v>100</v>
      </c>
      <c r="H99" s="87">
        <v>45961</v>
      </c>
      <c r="I99" s="20" t="s">
        <v>309</v>
      </c>
      <c r="J99" s="22">
        <v>44.69829</v>
      </c>
      <c r="K99" s="149">
        <v>10.634130000000001</v>
      </c>
      <c r="L99" s="22"/>
      <c r="M99" s="22"/>
      <c r="N99" s="60">
        <v>54482.39</v>
      </c>
      <c r="O99" s="23">
        <f t="shared" si="23"/>
        <v>0</v>
      </c>
      <c r="P99" s="23">
        <v>54482.39</v>
      </c>
      <c r="Q99" s="23">
        <v>0</v>
      </c>
      <c r="R99" s="23"/>
      <c r="S99" s="23"/>
      <c r="T99" s="23">
        <v>0</v>
      </c>
      <c r="U99" s="23">
        <v>0</v>
      </c>
    </row>
    <row r="100" spans="1:21" ht="26.85" customHeight="1" x14ac:dyDescent="0.5">
      <c r="A100" s="17">
        <v>75</v>
      </c>
      <c r="B100" s="51" t="s">
        <v>324</v>
      </c>
      <c r="C100" s="19" t="s">
        <v>258</v>
      </c>
      <c r="D100" s="20" t="s">
        <v>294</v>
      </c>
      <c r="E100" s="20"/>
      <c r="F100" s="20" t="s">
        <v>231</v>
      </c>
      <c r="G100" s="147">
        <v>0.4</v>
      </c>
      <c r="H100" s="146">
        <v>46387</v>
      </c>
      <c r="I100" s="20" t="s">
        <v>310</v>
      </c>
      <c r="J100" s="22">
        <v>44.69829</v>
      </c>
      <c r="K100" s="149">
        <v>10.634130000000001</v>
      </c>
      <c r="L100" s="22"/>
      <c r="M100" s="22"/>
      <c r="N100" s="60">
        <v>15927</v>
      </c>
      <c r="O100" s="23"/>
      <c r="P100" s="23"/>
      <c r="Q100" s="23"/>
      <c r="R100" s="23"/>
      <c r="S100" s="23"/>
      <c r="T100" s="23"/>
      <c r="U100" s="23"/>
    </row>
    <row r="101" spans="1:21" ht="26.85" customHeight="1" x14ac:dyDescent="0.5">
      <c r="A101" s="17">
        <v>76</v>
      </c>
      <c r="B101" s="51" t="s">
        <v>324</v>
      </c>
      <c r="C101" s="19" t="s">
        <v>259</v>
      </c>
      <c r="D101" s="20" t="s">
        <v>293</v>
      </c>
      <c r="E101" s="20"/>
      <c r="F101" s="20" t="s">
        <v>231</v>
      </c>
      <c r="G101" s="147">
        <v>0.4</v>
      </c>
      <c r="H101" s="146">
        <v>46387</v>
      </c>
      <c r="I101" s="20" t="s">
        <v>311</v>
      </c>
      <c r="J101" s="22">
        <v>44.69829</v>
      </c>
      <c r="K101" s="149">
        <v>10.634130000000001</v>
      </c>
      <c r="L101" s="22"/>
      <c r="M101" s="22"/>
      <c r="N101" s="60">
        <v>13253</v>
      </c>
      <c r="O101" s="23"/>
      <c r="P101" s="23"/>
      <c r="Q101" s="23"/>
      <c r="R101" s="23"/>
      <c r="S101" s="23"/>
      <c r="T101" s="23"/>
      <c r="U101" s="23"/>
    </row>
    <row r="102" spans="1:21" ht="26.85" customHeight="1" x14ac:dyDescent="0.5">
      <c r="A102" s="17">
        <v>77</v>
      </c>
      <c r="B102" s="51" t="s">
        <v>324</v>
      </c>
      <c r="C102" s="19" t="s">
        <v>260</v>
      </c>
      <c r="D102" s="20" t="s">
        <v>292</v>
      </c>
      <c r="E102" s="20"/>
      <c r="F102" s="20" t="s">
        <v>231</v>
      </c>
      <c r="G102" s="148">
        <v>1</v>
      </c>
      <c r="H102" s="146">
        <v>46112</v>
      </c>
      <c r="I102" s="20" t="s">
        <v>312</v>
      </c>
      <c r="J102" s="22">
        <v>44.69829</v>
      </c>
      <c r="K102" s="149">
        <v>10.634130000000001</v>
      </c>
      <c r="L102" s="22"/>
      <c r="M102" s="22"/>
      <c r="N102" s="60">
        <v>64239</v>
      </c>
      <c r="O102" s="23"/>
      <c r="P102" s="23"/>
      <c r="Q102" s="23"/>
      <c r="R102" s="23"/>
      <c r="S102" s="23"/>
      <c r="T102" s="23"/>
      <c r="U102" s="23"/>
    </row>
    <row r="103" spans="1:21" ht="26.85" customHeight="1" x14ac:dyDescent="0.5">
      <c r="A103" s="17">
        <v>78</v>
      </c>
      <c r="B103" s="51" t="s">
        <v>324</v>
      </c>
      <c r="C103" s="19" t="s">
        <v>291</v>
      </c>
      <c r="D103" s="20" t="s">
        <v>295</v>
      </c>
      <c r="E103" s="20"/>
      <c r="F103" s="20" t="s">
        <v>231</v>
      </c>
      <c r="G103" s="148">
        <v>1</v>
      </c>
      <c r="H103" s="146">
        <v>46230</v>
      </c>
      <c r="I103" s="20" t="s">
        <v>313</v>
      </c>
      <c r="J103" s="22">
        <v>44.69829</v>
      </c>
      <c r="K103" s="149">
        <v>10.634130000000001</v>
      </c>
      <c r="L103" s="22"/>
      <c r="M103" s="22"/>
      <c r="N103" s="60">
        <v>128832</v>
      </c>
      <c r="O103" s="23"/>
      <c r="P103" s="23"/>
      <c r="Q103" s="23"/>
      <c r="R103" s="23"/>
      <c r="S103" s="23"/>
      <c r="T103" s="23"/>
      <c r="U103" s="23"/>
    </row>
    <row r="104" spans="1:21" ht="28.65" customHeight="1" x14ac:dyDescent="0.5">
      <c r="A104" s="82">
        <v>80</v>
      </c>
      <c r="B104" s="120" t="s">
        <v>324</v>
      </c>
      <c r="C104" s="84" t="s">
        <v>261</v>
      </c>
      <c r="D104" s="88" t="s">
        <v>262</v>
      </c>
      <c r="E104" s="88" t="s">
        <v>231</v>
      </c>
      <c r="F104" s="88" t="s">
        <v>231</v>
      </c>
      <c r="G104" s="110">
        <v>100</v>
      </c>
      <c r="H104" s="87">
        <v>46035</v>
      </c>
      <c r="I104" s="20" t="s">
        <v>523</v>
      </c>
      <c r="J104" s="89">
        <v>44.69829</v>
      </c>
      <c r="K104" s="152">
        <v>10.634130000000001</v>
      </c>
      <c r="L104" s="22"/>
      <c r="M104" s="22"/>
      <c r="N104" s="163">
        <v>53011.01</v>
      </c>
      <c r="O104" s="112">
        <f>N104-P104-Q104</f>
        <v>0</v>
      </c>
      <c r="P104" s="112">
        <v>53011.01</v>
      </c>
      <c r="Q104" s="112">
        <v>0</v>
      </c>
      <c r="R104" s="112"/>
      <c r="S104" s="112"/>
      <c r="T104" s="112">
        <v>0</v>
      </c>
      <c r="U104" s="112">
        <v>0</v>
      </c>
    </row>
    <row r="105" spans="1:21" ht="28.65" customHeight="1" x14ac:dyDescent="0.5">
      <c r="A105" s="76"/>
      <c r="B105" s="182" t="s">
        <v>62</v>
      </c>
      <c r="C105" s="182"/>
      <c r="D105" s="182"/>
      <c r="E105" s="182"/>
      <c r="F105" s="182"/>
      <c r="G105" s="107"/>
      <c r="H105" s="119"/>
      <c r="I105" s="47"/>
      <c r="J105" s="80"/>
      <c r="K105" s="153"/>
      <c r="L105" s="79"/>
      <c r="M105" s="79"/>
      <c r="N105" s="62">
        <f>SUM(N86:N104)</f>
        <v>3015128.4</v>
      </c>
      <c r="O105" s="36">
        <f>N105-P105-Q105</f>
        <v>295441</v>
      </c>
      <c r="P105" s="36">
        <f>SUM(P86:P104)</f>
        <v>2719687.4</v>
      </c>
      <c r="Q105" s="36">
        <f>SUM(Q86:Q104)</f>
        <v>0</v>
      </c>
      <c r="R105" s="35"/>
      <c r="S105" s="35"/>
      <c r="T105" s="35">
        <f>SUM(T86:T104)</f>
        <v>2301657.75</v>
      </c>
      <c r="U105" s="35">
        <f>SUM(U86:U104)</f>
        <v>2301657.75</v>
      </c>
    </row>
    <row r="106" spans="1:21" ht="28.65" customHeight="1" x14ac:dyDescent="0.5">
      <c r="A106" s="113"/>
      <c r="B106" s="192" t="s">
        <v>330</v>
      </c>
      <c r="C106" s="192"/>
      <c r="D106" s="192"/>
      <c r="E106" s="192"/>
      <c r="F106" s="192"/>
      <c r="G106" s="193"/>
      <c r="H106" s="194"/>
      <c r="I106" s="192"/>
      <c r="J106" s="195"/>
      <c r="K106" s="196"/>
      <c r="L106" s="197"/>
      <c r="M106" s="197"/>
      <c r="N106" s="198"/>
      <c r="O106" s="195"/>
      <c r="P106" s="195"/>
      <c r="Q106" s="195"/>
      <c r="R106" s="195"/>
      <c r="S106" s="195"/>
      <c r="T106" s="195"/>
      <c r="U106" s="195"/>
    </row>
    <row r="107" spans="1:21" s="2" customFormat="1" ht="27.45" customHeight="1" x14ac:dyDescent="0.5">
      <c r="A107" s="82">
        <v>81</v>
      </c>
      <c r="B107" s="118" t="s">
        <v>323</v>
      </c>
      <c r="C107" s="84" t="s">
        <v>263</v>
      </c>
      <c r="D107" s="88" t="s">
        <v>264</v>
      </c>
      <c r="E107" s="82" t="s">
        <v>265</v>
      </c>
      <c r="F107" s="88" t="s">
        <v>266</v>
      </c>
      <c r="G107" s="110">
        <v>100</v>
      </c>
      <c r="H107" s="87">
        <v>46203</v>
      </c>
      <c r="I107" s="111" t="s">
        <v>267</v>
      </c>
      <c r="J107" s="89">
        <v>44.704500000000003</v>
      </c>
      <c r="K107" s="152">
        <v>10.65982</v>
      </c>
      <c r="L107" s="22"/>
      <c r="M107" s="22"/>
      <c r="N107" s="163">
        <v>8027620</v>
      </c>
      <c r="O107" s="112">
        <v>0</v>
      </c>
      <c r="P107" s="112">
        <v>8027620</v>
      </c>
      <c r="Q107" s="112">
        <v>0</v>
      </c>
      <c r="R107" s="112"/>
      <c r="S107" s="112"/>
      <c r="T107" s="112">
        <v>8009705.79</v>
      </c>
      <c r="U107" s="112">
        <v>8009705.79</v>
      </c>
    </row>
    <row r="108" spans="1:21" s="2" customFormat="1" ht="27.45" customHeight="1" x14ac:dyDescent="0.5">
      <c r="A108" s="76"/>
      <c r="B108" s="182" t="s">
        <v>62</v>
      </c>
      <c r="C108" s="182"/>
      <c r="D108" s="182"/>
      <c r="E108" s="182"/>
      <c r="F108" s="182"/>
      <c r="G108" s="107"/>
      <c r="H108" s="78"/>
      <c r="I108" s="108"/>
      <c r="J108" s="80"/>
      <c r="K108" s="153"/>
      <c r="L108" s="79"/>
      <c r="M108" s="79"/>
      <c r="N108" s="62">
        <f>SUM(N107:N107)</f>
        <v>8027620</v>
      </c>
      <c r="O108" s="36">
        <f>N108-P108-Q108</f>
        <v>0</v>
      </c>
      <c r="P108" s="36">
        <f>SUM(P107:P107)</f>
        <v>8027620</v>
      </c>
      <c r="Q108" s="36">
        <f>SUM(Q107:Q107)</f>
        <v>0</v>
      </c>
      <c r="R108" s="35"/>
      <c r="S108" s="35"/>
      <c r="T108" s="35">
        <f>SUM(T107:T107)</f>
        <v>8009705.79</v>
      </c>
      <c r="U108" s="35">
        <f>SUM(U107:U107)</f>
        <v>8009705.79</v>
      </c>
    </row>
    <row r="109" spans="1:21" s="2" customFormat="1" ht="27.45" customHeight="1" x14ac:dyDescent="0.5">
      <c r="A109" s="113"/>
      <c r="B109" s="192" t="s">
        <v>331</v>
      </c>
      <c r="C109" s="192"/>
      <c r="D109" s="192"/>
      <c r="E109" s="192"/>
      <c r="F109" s="192"/>
      <c r="G109" s="193"/>
      <c r="H109" s="194"/>
      <c r="I109" s="192"/>
      <c r="J109" s="195"/>
      <c r="K109" s="196"/>
      <c r="L109" s="197"/>
      <c r="M109" s="197"/>
      <c r="N109" s="198"/>
      <c r="O109" s="195"/>
      <c r="P109" s="195"/>
      <c r="Q109" s="195"/>
      <c r="R109" s="195"/>
      <c r="S109" s="195"/>
      <c r="T109" s="195"/>
      <c r="U109" s="195"/>
    </row>
    <row r="110" spans="1:21" s="2" customFormat="1" ht="27.45" customHeight="1" x14ac:dyDescent="0.5">
      <c r="A110" s="82">
        <v>82</v>
      </c>
      <c r="B110" s="109" t="s">
        <v>316</v>
      </c>
      <c r="C110" s="84" t="s">
        <v>268</v>
      </c>
      <c r="D110" s="88" t="s">
        <v>269</v>
      </c>
      <c r="E110" s="82" t="s">
        <v>270</v>
      </c>
      <c r="F110" s="88" t="s">
        <v>271</v>
      </c>
      <c r="G110" s="110">
        <v>100</v>
      </c>
      <c r="H110" s="87">
        <v>46203</v>
      </c>
      <c r="I110" s="111" t="s">
        <v>272</v>
      </c>
      <c r="J110" s="89">
        <v>44.6995</v>
      </c>
      <c r="K110" s="152">
        <v>10.6426</v>
      </c>
      <c r="L110" s="22"/>
      <c r="M110" s="22"/>
      <c r="N110" s="163">
        <v>11900000</v>
      </c>
      <c r="O110" s="112">
        <v>7900000</v>
      </c>
      <c r="P110" s="112">
        <v>4000000</v>
      </c>
      <c r="Q110" s="112">
        <v>0</v>
      </c>
      <c r="R110" s="112"/>
      <c r="S110" s="112"/>
      <c r="T110" s="112">
        <v>1056681.8999999999</v>
      </c>
      <c r="U110" s="112"/>
    </row>
    <row r="111" spans="1:21" s="2" customFormat="1" ht="27.45" customHeight="1" x14ac:dyDescent="0.5">
      <c r="A111" s="76"/>
      <c r="B111" s="182" t="s">
        <v>62</v>
      </c>
      <c r="C111" s="182"/>
      <c r="D111" s="182"/>
      <c r="E111" s="182"/>
      <c r="F111" s="182"/>
      <c r="G111" s="107"/>
      <c r="H111" s="78"/>
      <c r="I111" s="108"/>
      <c r="J111" s="80"/>
      <c r="K111" s="153"/>
      <c r="L111" s="79"/>
      <c r="M111" s="79"/>
      <c r="N111" s="62">
        <f>SUM(N110:N110)</f>
        <v>11900000</v>
      </c>
      <c r="O111" s="36">
        <f>N111-P111-Q111</f>
        <v>7900000</v>
      </c>
      <c r="P111" s="36">
        <f>SUM(P110:P110)</f>
        <v>4000000</v>
      </c>
      <c r="Q111" s="36">
        <f>SUM(Q110:Q110)</f>
        <v>0</v>
      </c>
      <c r="R111" s="35"/>
      <c r="S111" s="35"/>
      <c r="T111" s="35">
        <f>SUM(T110:T110)</f>
        <v>1056681.8999999999</v>
      </c>
      <c r="U111" s="35">
        <f>SUM(U110:U110)</f>
        <v>0</v>
      </c>
    </row>
    <row r="112" spans="1:21" s="2" customFormat="1" ht="27.45" customHeight="1" x14ac:dyDescent="0.5">
      <c r="A112" s="113"/>
      <c r="B112" s="94"/>
      <c r="C112" s="94"/>
      <c r="D112" s="94"/>
      <c r="E112" s="113"/>
      <c r="F112" s="113"/>
      <c r="G112" s="114"/>
      <c r="H112" s="115"/>
      <c r="I112" s="113"/>
      <c r="J112" s="116"/>
      <c r="K112" s="155"/>
      <c r="L112" s="52"/>
      <c r="M112" s="52"/>
      <c r="N112" s="164"/>
      <c r="O112" s="117"/>
      <c r="P112" s="117"/>
      <c r="Q112" s="117"/>
      <c r="R112" s="117"/>
      <c r="S112" s="117"/>
      <c r="T112" s="117"/>
      <c r="U112" s="117"/>
    </row>
    <row r="113" spans="1:1038" s="3" customFormat="1" ht="27.45" customHeight="1" x14ac:dyDescent="0.25">
      <c r="A113" s="73"/>
      <c r="B113" s="185" t="s">
        <v>333</v>
      </c>
      <c r="C113" s="185"/>
      <c r="D113" s="185"/>
      <c r="E113" s="185"/>
      <c r="F113" s="185"/>
      <c r="G113" s="186"/>
      <c r="H113" s="187"/>
      <c r="I113" s="185"/>
      <c r="J113" s="188"/>
      <c r="K113" s="189"/>
      <c r="L113" s="190"/>
      <c r="M113" s="190"/>
      <c r="N113" s="191"/>
      <c r="O113" s="188"/>
      <c r="P113" s="188"/>
      <c r="Q113" s="188"/>
      <c r="R113" s="188"/>
      <c r="S113" s="188"/>
      <c r="T113" s="188"/>
      <c r="U113" s="188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  <c r="BC113" s="71"/>
      <c r="BD113" s="71"/>
      <c r="BE113" s="71"/>
      <c r="BF113" s="71"/>
      <c r="BG113" s="71"/>
      <c r="BH113" s="71"/>
      <c r="BI113" s="71"/>
      <c r="BJ113" s="71"/>
      <c r="BK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  <c r="BV113" s="71"/>
      <c r="BW113" s="71"/>
      <c r="BX113" s="71"/>
      <c r="BY113" s="71"/>
      <c r="BZ113" s="71"/>
      <c r="CA113" s="71"/>
      <c r="CB113" s="71"/>
      <c r="CC113" s="71"/>
      <c r="CD113" s="71"/>
      <c r="CE113" s="71"/>
      <c r="CF113" s="71"/>
      <c r="CG113" s="71"/>
      <c r="CH113" s="71"/>
      <c r="CI113" s="71"/>
      <c r="CJ113" s="71"/>
      <c r="CK113" s="71"/>
      <c r="CL113" s="71"/>
      <c r="CM113" s="71"/>
      <c r="CN113" s="71"/>
      <c r="CO113" s="71"/>
      <c r="CP113" s="71"/>
      <c r="CQ113" s="71"/>
      <c r="CR113" s="71"/>
      <c r="CS113" s="71"/>
      <c r="CT113" s="71"/>
      <c r="CU113" s="71"/>
      <c r="CV113" s="71"/>
      <c r="CW113" s="71"/>
      <c r="CX113" s="71"/>
      <c r="CY113" s="71"/>
      <c r="CZ113" s="71"/>
      <c r="DA113" s="71"/>
      <c r="DB113" s="71"/>
      <c r="DC113" s="71"/>
      <c r="DD113" s="71"/>
      <c r="DE113" s="71"/>
      <c r="DF113" s="71"/>
      <c r="DG113" s="71"/>
      <c r="DH113" s="71"/>
      <c r="DI113" s="71"/>
      <c r="DJ113" s="71"/>
      <c r="DK113" s="71"/>
      <c r="DL113" s="71"/>
      <c r="DM113" s="71"/>
      <c r="DN113" s="71"/>
      <c r="DO113" s="71"/>
      <c r="DP113" s="71"/>
      <c r="DQ113" s="71"/>
      <c r="DR113" s="71"/>
      <c r="DS113" s="71"/>
      <c r="DT113" s="71"/>
      <c r="DU113" s="71"/>
      <c r="DV113" s="71"/>
      <c r="DW113" s="71"/>
      <c r="DX113" s="71"/>
      <c r="DY113" s="71"/>
      <c r="DZ113" s="71"/>
      <c r="EA113" s="71"/>
      <c r="EB113" s="71"/>
      <c r="EC113" s="71"/>
      <c r="ED113" s="71"/>
      <c r="EE113" s="71"/>
      <c r="EF113" s="71"/>
      <c r="EG113" s="71"/>
      <c r="EH113" s="71"/>
      <c r="EI113" s="71"/>
      <c r="EJ113" s="71"/>
      <c r="EK113" s="71"/>
      <c r="EL113" s="71"/>
      <c r="EM113" s="71"/>
      <c r="EN113" s="71"/>
      <c r="EO113" s="71"/>
      <c r="EP113" s="71"/>
      <c r="EQ113" s="71"/>
      <c r="ER113" s="71"/>
      <c r="ES113" s="71"/>
      <c r="ET113" s="71"/>
      <c r="EU113" s="71"/>
      <c r="EV113" s="71"/>
      <c r="EW113" s="71"/>
      <c r="EX113" s="71"/>
      <c r="EY113" s="71"/>
      <c r="EZ113" s="71"/>
      <c r="FA113" s="71"/>
      <c r="FB113" s="71"/>
      <c r="FC113" s="71"/>
      <c r="FD113" s="71"/>
      <c r="FE113" s="71"/>
      <c r="FF113" s="71"/>
      <c r="FG113" s="71"/>
      <c r="FH113" s="71"/>
      <c r="FI113" s="71"/>
      <c r="FJ113" s="71"/>
      <c r="FK113" s="71"/>
      <c r="FL113" s="71"/>
      <c r="FM113" s="71"/>
      <c r="FN113" s="71"/>
      <c r="FO113" s="71"/>
      <c r="FP113" s="71"/>
      <c r="FQ113" s="71"/>
      <c r="FR113" s="71"/>
      <c r="FS113" s="71"/>
      <c r="FT113" s="71"/>
      <c r="FU113" s="71"/>
      <c r="FV113" s="71"/>
      <c r="FW113" s="71"/>
      <c r="FX113" s="71"/>
      <c r="FY113" s="71"/>
      <c r="FZ113" s="71"/>
      <c r="GA113" s="71"/>
      <c r="GB113" s="71"/>
      <c r="GC113" s="71"/>
      <c r="GD113" s="71"/>
      <c r="GE113" s="71"/>
      <c r="GF113" s="71"/>
      <c r="GG113" s="71"/>
      <c r="GH113" s="71"/>
      <c r="GI113" s="71"/>
      <c r="GJ113" s="71"/>
      <c r="GK113" s="71"/>
      <c r="GL113" s="71"/>
      <c r="GM113" s="71"/>
      <c r="GN113" s="71"/>
      <c r="GO113" s="71"/>
      <c r="GP113" s="71"/>
      <c r="GQ113" s="71"/>
      <c r="GR113" s="71"/>
      <c r="GS113" s="71"/>
      <c r="GT113" s="71"/>
      <c r="GU113" s="71"/>
      <c r="GV113" s="71"/>
      <c r="GW113" s="71"/>
      <c r="GX113" s="71"/>
      <c r="GY113" s="71"/>
      <c r="GZ113" s="71"/>
      <c r="HA113" s="71"/>
      <c r="HB113" s="71"/>
      <c r="HC113" s="71"/>
      <c r="HD113" s="71"/>
      <c r="HE113" s="71"/>
      <c r="HF113" s="71"/>
      <c r="HG113" s="71"/>
      <c r="HH113" s="71"/>
      <c r="HI113" s="71"/>
      <c r="HJ113" s="71"/>
      <c r="HK113" s="71"/>
      <c r="HL113" s="71"/>
      <c r="HM113" s="71"/>
      <c r="HN113" s="71"/>
      <c r="HO113" s="71"/>
      <c r="HP113" s="71"/>
      <c r="HQ113" s="71"/>
      <c r="HR113" s="71"/>
      <c r="HS113" s="71"/>
      <c r="HT113" s="71"/>
      <c r="HU113" s="71"/>
      <c r="HV113" s="71"/>
      <c r="HW113" s="71"/>
      <c r="HX113" s="71"/>
      <c r="HY113" s="71"/>
      <c r="HZ113" s="71"/>
      <c r="IA113" s="71"/>
      <c r="IB113" s="71"/>
      <c r="IC113" s="71"/>
      <c r="ID113" s="71"/>
      <c r="IE113" s="71"/>
      <c r="IF113" s="71"/>
      <c r="IG113" s="71"/>
      <c r="IH113" s="71"/>
      <c r="II113" s="71"/>
      <c r="IJ113" s="71"/>
      <c r="IK113" s="71"/>
      <c r="IL113" s="71"/>
      <c r="IM113" s="71"/>
      <c r="IN113" s="71"/>
      <c r="IO113" s="71"/>
      <c r="IP113" s="71"/>
      <c r="IQ113" s="71"/>
      <c r="IR113" s="71"/>
      <c r="IS113" s="71"/>
      <c r="IT113" s="71"/>
      <c r="IU113" s="71"/>
      <c r="IV113" s="71"/>
      <c r="IW113" s="71"/>
      <c r="IX113" s="71"/>
      <c r="IY113" s="71"/>
      <c r="IZ113" s="71"/>
      <c r="JA113" s="71"/>
      <c r="JB113" s="71"/>
      <c r="JC113" s="71"/>
      <c r="JD113" s="71"/>
      <c r="JE113" s="71"/>
      <c r="JF113" s="71"/>
      <c r="JG113" s="71"/>
      <c r="JH113" s="71"/>
      <c r="JI113" s="71"/>
      <c r="JJ113" s="71"/>
      <c r="JK113" s="71"/>
      <c r="JL113" s="71"/>
      <c r="JM113" s="71"/>
      <c r="JN113" s="71"/>
      <c r="JO113" s="71"/>
      <c r="JP113" s="71"/>
      <c r="JQ113" s="71"/>
      <c r="JR113" s="71"/>
      <c r="JS113" s="71"/>
      <c r="JT113" s="71"/>
      <c r="JU113" s="71"/>
      <c r="JV113" s="71"/>
      <c r="JW113" s="71"/>
      <c r="JX113" s="71"/>
      <c r="JY113" s="71"/>
      <c r="JZ113" s="71"/>
      <c r="KA113" s="71"/>
      <c r="KB113" s="71"/>
      <c r="KC113" s="71"/>
      <c r="KD113" s="71"/>
      <c r="KE113" s="71"/>
      <c r="KF113" s="71"/>
      <c r="KG113" s="71"/>
      <c r="KH113" s="71"/>
      <c r="KI113" s="71"/>
      <c r="KJ113" s="71"/>
      <c r="KK113" s="71"/>
      <c r="KL113" s="71"/>
      <c r="KM113" s="71"/>
      <c r="KN113" s="71"/>
      <c r="KO113" s="71"/>
      <c r="KP113" s="71"/>
      <c r="KQ113" s="71"/>
      <c r="KR113" s="71"/>
      <c r="KS113" s="71"/>
      <c r="KT113" s="71"/>
      <c r="KU113" s="71"/>
      <c r="KV113" s="71"/>
      <c r="KW113" s="71"/>
      <c r="KX113" s="71"/>
      <c r="KY113" s="71"/>
      <c r="KZ113" s="71"/>
      <c r="LA113" s="71"/>
      <c r="LB113" s="71"/>
      <c r="LC113" s="71"/>
      <c r="LD113" s="71"/>
      <c r="LE113" s="71"/>
      <c r="LF113" s="71"/>
      <c r="LG113" s="71"/>
      <c r="LH113" s="71"/>
      <c r="LI113" s="71"/>
      <c r="LJ113" s="71"/>
      <c r="LK113" s="71"/>
      <c r="LL113" s="71"/>
      <c r="LM113" s="71"/>
      <c r="LN113" s="71"/>
      <c r="LO113" s="71"/>
      <c r="LP113" s="71"/>
      <c r="LQ113" s="71"/>
      <c r="LR113" s="71"/>
      <c r="LS113" s="71"/>
      <c r="LT113" s="71"/>
      <c r="LU113" s="71"/>
      <c r="LV113" s="71"/>
      <c r="LW113" s="71"/>
      <c r="LX113" s="71"/>
      <c r="LY113" s="71"/>
      <c r="LZ113" s="71"/>
      <c r="MA113" s="71"/>
      <c r="MB113" s="71"/>
      <c r="MC113" s="71"/>
      <c r="MD113" s="71"/>
      <c r="ME113" s="71"/>
      <c r="MF113" s="71"/>
      <c r="MG113" s="71"/>
      <c r="MH113" s="71"/>
      <c r="MI113" s="71"/>
      <c r="MJ113" s="71"/>
      <c r="MK113" s="71"/>
      <c r="ML113" s="71"/>
      <c r="MM113" s="71"/>
      <c r="MN113" s="71"/>
      <c r="MO113" s="71"/>
      <c r="MP113" s="71"/>
      <c r="MQ113" s="71"/>
      <c r="MR113" s="71"/>
      <c r="MS113" s="71"/>
      <c r="MT113" s="71"/>
      <c r="MU113" s="71"/>
      <c r="MV113" s="71"/>
      <c r="MW113" s="71"/>
      <c r="MX113" s="71"/>
      <c r="MY113" s="71"/>
      <c r="MZ113" s="71"/>
      <c r="NA113" s="71"/>
      <c r="NB113" s="71"/>
      <c r="NC113" s="71"/>
      <c r="ND113" s="71"/>
      <c r="NE113" s="71"/>
      <c r="NF113" s="71"/>
      <c r="NG113" s="71"/>
      <c r="NH113" s="71"/>
      <c r="NI113" s="71"/>
      <c r="NJ113" s="71"/>
      <c r="NK113" s="71"/>
      <c r="NL113" s="71"/>
      <c r="NM113" s="71"/>
      <c r="NN113" s="71"/>
      <c r="NO113" s="71"/>
      <c r="NP113" s="71"/>
      <c r="NQ113" s="71"/>
      <c r="NR113" s="71"/>
      <c r="NS113" s="71"/>
      <c r="NT113" s="71"/>
      <c r="NU113" s="71"/>
      <c r="NV113" s="71"/>
      <c r="NW113" s="71"/>
      <c r="NX113" s="71"/>
      <c r="NY113" s="71"/>
      <c r="NZ113" s="71"/>
      <c r="OA113" s="71"/>
      <c r="OB113" s="71"/>
      <c r="OC113" s="71"/>
      <c r="OD113" s="71"/>
      <c r="OE113" s="71"/>
      <c r="OF113" s="71"/>
      <c r="OG113" s="71"/>
      <c r="OH113" s="71"/>
      <c r="OI113" s="71"/>
      <c r="OJ113" s="71"/>
      <c r="OK113" s="71"/>
      <c r="OL113" s="71"/>
      <c r="OM113" s="71"/>
      <c r="ON113" s="71"/>
      <c r="OO113" s="71"/>
      <c r="OP113" s="71"/>
      <c r="OQ113" s="71"/>
      <c r="OR113" s="71"/>
      <c r="OS113" s="71"/>
      <c r="OT113" s="71"/>
      <c r="OU113" s="71"/>
      <c r="OV113" s="71"/>
      <c r="OW113" s="71"/>
      <c r="OX113" s="71"/>
      <c r="OY113" s="71"/>
      <c r="OZ113" s="71"/>
      <c r="PA113" s="71"/>
      <c r="PB113" s="71"/>
      <c r="PC113" s="71"/>
      <c r="PD113" s="71"/>
      <c r="PE113" s="71"/>
      <c r="PF113" s="71"/>
      <c r="PG113" s="71"/>
      <c r="PH113" s="71"/>
      <c r="PI113" s="71"/>
      <c r="PJ113" s="71"/>
      <c r="PK113" s="71"/>
      <c r="PL113" s="71"/>
      <c r="PM113" s="71"/>
      <c r="PN113" s="71"/>
      <c r="PO113" s="71"/>
      <c r="PP113" s="71"/>
      <c r="PQ113" s="71"/>
      <c r="PR113" s="71"/>
      <c r="PS113" s="71"/>
      <c r="PT113" s="71"/>
      <c r="PU113" s="71"/>
      <c r="PV113" s="71"/>
      <c r="PW113" s="71"/>
      <c r="PX113" s="71"/>
      <c r="PY113" s="71"/>
      <c r="PZ113" s="71"/>
      <c r="QA113" s="71"/>
      <c r="QB113" s="71"/>
      <c r="QC113" s="71"/>
      <c r="QD113" s="71"/>
      <c r="QE113" s="71"/>
      <c r="QF113" s="71"/>
      <c r="QG113" s="71"/>
      <c r="QH113" s="71"/>
      <c r="QI113" s="71"/>
      <c r="QJ113" s="71"/>
      <c r="QK113" s="71"/>
      <c r="QL113" s="71"/>
      <c r="QM113" s="71"/>
      <c r="QN113" s="71"/>
      <c r="QO113" s="71"/>
      <c r="QP113" s="71"/>
      <c r="QQ113" s="71"/>
      <c r="QR113" s="71"/>
      <c r="QS113" s="71"/>
      <c r="QT113" s="71"/>
      <c r="QU113" s="71"/>
      <c r="QV113" s="71"/>
      <c r="QW113" s="71"/>
      <c r="QX113" s="71"/>
      <c r="QY113" s="71"/>
      <c r="QZ113" s="71"/>
      <c r="RA113" s="71"/>
      <c r="RB113" s="71"/>
      <c r="RC113" s="71"/>
      <c r="RD113" s="71"/>
      <c r="RE113" s="71"/>
      <c r="RF113" s="71"/>
      <c r="RG113" s="71"/>
      <c r="RH113" s="71"/>
      <c r="RI113" s="71"/>
      <c r="RJ113" s="71"/>
      <c r="RK113" s="71"/>
      <c r="RL113" s="71"/>
      <c r="RM113" s="71"/>
      <c r="RN113" s="71"/>
      <c r="RO113" s="71"/>
      <c r="RP113" s="71"/>
      <c r="RQ113" s="71"/>
      <c r="RR113" s="71"/>
      <c r="RS113" s="71"/>
      <c r="RT113" s="71"/>
      <c r="RU113" s="71"/>
      <c r="RV113" s="71"/>
      <c r="RW113" s="71"/>
      <c r="RX113" s="71"/>
      <c r="RY113" s="71"/>
      <c r="RZ113" s="71"/>
      <c r="SA113" s="71"/>
      <c r="SB113" s="71"/>
      <c r="SC113" s="71"/>
      <c r="SD113" s="71"/>
      <c r="SE113" s="71"/>
      <c r="SF113" s="71"/>
      <c r="SG113" s="71"/>
      <c r="SH113" s="71"/>
      <c r="SI113" s="71"/>
      <c r="SJ113" s="71"/>
      <c r="SK113" s="71"/>
      <c r="SL113" s="71"/>
      <c r="SM113" s="71"/>
      <c r="SN113" s="71"/>
      <c r="SO113" s="71"/>
      <c r="SP113" s="71"/>
      <c r="SQ113" s="71"/>
      <c r="SR113" s="71"/>
      <c r="SS113" s="71"/>
      <c r="ST113" s="71"/>
      <c r="SU113" s="71"/>
      <c r="SV113" s="71"/>
      <c r="SW113" s="71"/>
      <c r="SX113" s="71"/>
      <c r="SY113" s="71"/>
      <c r="SZ113" s="71"/>
      <c r="TA113" s="71"/>
      <c r="TB113" s="71"/>
      <c r="TC113" s="71"/>
      <c r="TD113" s="71"/>
      <c r="TE113" s="71"/>
      <c r="TF113" s="71"/>
      <c r="TG113" s="71"/>
      <c r="TH113" s="71"/>
      <c r="TI113" s="71"/>
      <c r="TJ113" s="71"/>
      <c r="TK113" s="71"/>
      <c r="TL113" s="71"/>
      <c r="TM113" s="71"/>
      <c r="TN113" s="71"/>
      <c r="TO113" s="71"/>
      <c r="TP113" s="71"/>
      <c r="TQ113" s="71"/>
      <c r="TR113" s="71"/>
      <c r="TS113" s="71"/>
      <c r="TT113" s="71"/>
      <c r="TU113" s="71"/>
      <c r="TV113" s="71"/>
      <c r="TW113" s="71"/>
      <c r="TX113" s="71"/>
      <c r="TY113" s="71"/>
      <c r="TZ113" s="71"/>
      <c r="UA113" s="71"/>
      <c r="UB113" s="71"/>
      <c r="UC113" s="71"/>
      <c r="UD113" s="71"/>
      <c r="UE113" s="71"/>
      <c r="UF113" s="71"/>
      <c r="UG113" s="71"/>
      <c r="UH113" s="71"/>
      <c r="UI113" s="71"/>
      <c r="UJ113" s="71"/>
      <c r="UK113" s="71"/>
      <c r="UL113" s="71"/>
      <c r="UM113" s="71"/>
      <c r="UN113" s="71"/>
      <c r="UO113" s="71"/>
      <c r="UP113" s="71"/>
      <c r="UQ113" s="71"/>
      <c r="UR113" s="71"/>
      <c r="US113" s="71"/>
      <c r="UT113" s="71"/>
      <c r="UU113" s="71"/>
      <c r="UV113" s="71"/>
      <c r="UW113" s="71"/>
      <c r="UX113" s="71"/>
      <c r="UY113" s="71"/>
      <c r="UZ113" s="71"/>
      <c r="VA113" s="71"/>
      <c r="VB113" s="71"/>
      <c r="VC113" s="71"/>
      <c r="VD113" s="71"/>
      <c r="VE113" s="71"/>
      <c r="VF113" s="71"/>
      <c r="VG113" s="71"/>
      <c r="VH113" s="71"/>
      <c r="VI113" s="71"/>
      <c r="VJ113" s="71"/>
      <c r="VK113" s="71"/>
      <c r="VL113" s="71"/>
      <c r="VM113" s="71"/>
      <c r="VN113" s="71"/>
      <c r="VO113" s="71"/>
      <c r="VP113" s="71"/>
      <c r="VQ113" s="71"/>
      <c r="VR113" s="71"/>
      <c r="VS113" s="71"/>
      <c r="VT113" s="71"/>
      <c r="VU113" s="71"/>
      <c r="VV113" s="71"/>
      <c r="VW113" s="71"/>
      <c r="VX113" s="71"/>
      <c r="VY113" s="71"/>
      <c r="VZ113" s="71"/>
      <c r="WA113" s="71"/>
      <c r="WB113" s="71"/>
      <c r="WC113" s="71"/>
      <c r="WD113" s="71"/>
      <c r="WE113" s="71"/>
      <c r="WF113" s="71"/>
      <c r="WG113" s="71"/>
      <c r="WH113" s="71"/>
      <c r="WI113" s="71"/>
      <c r="WJ113" s="71"/>
      <c r="WK113" s="71"/>
      <c r="WL113" s="71"/>
      <c r="WM113" s="71"/>
      <c r="WN113" s="71"/>
      <c r="WO113" s="71"/>
      <c r="WP113" s="71"/>
      <c r="WQ113" s="71"/>
      <c r="WR113" s="71"/>
      <c r="WS113" s="71"/>
      <c r="WT113" s="71"/>
      <c r="WU113" s="71"/>
      <c r="WV113" s="71"/>
      <c r="WW113" s="71"/>
      <c r="WX113" s="71"/>
      <c r="WY113" s="71"/>
      <c r="WZ113" s="71"/>
      <c r="XA113" s="71"/>
      <c r="XB113" s="71"/>
      <c r="XC113" s="71"/>
      <c r="XD113" s="71"/>
      <c r="XE113" s="71"/>
      <c r="XF113" s="71"/>
      <c r="XG113" s="71"/>
      <c r="XH113" s="71"/>
      <c r="XI113" s="71"/>
      <c r="XJ113" s="71"/>
      <c r="XK113" s="71"/>
      <c r="XL113" s="71"/>
      <c r="XM113" s="71"/>
      <c r="XN113" s="71"/>
      <c r="XO113" s="71"/>
      <c r="XP113" s="71"/>
      <c r="XQ113" s="71"/>
      <c r="XR113" s="71"/>
      <c r="XS113" s="71"/>
      <c r="XT113" s="71"/>
      <c r="XU113" s="71"/>
      <c r="XV113" s="71"/>
      <c r="XW113" s="71"/>
      <c r="XX113" s="71"/>
      <c r="XY113" s="71"/>
      <c r="XZ113" s="71"/>
      <c r="YA113" s="71"/>
      <c r="YB113" s="71"/>
      <c r="YC113" s="71"/>
      <c r="YD113" s="71"/>
      <c r="YE113" s="71"/>
      <c r="YF113" s="71"/>
      <c r="YG113" s="71"/>
      <c r="YH113" s="71"/>
      <c r="YI113" s="71"/>
      <c r="YJ113" s="71"/>
      <c r="YK113" s="71"/>
      <c r="YL113" s="71"/>
      <c r="YM113" s="71"/>
      <c r="YN113" s="71"/>
      <c r="YO113" s="71"/>
      <c r="YP113" s="71"/>
      <c r="YQ113" s="71"/>
      <c r="YR113" s="71"/>
      <c r="YS113" s="71"/>
      <c r="YT113" s="71"/>
      <c r="YU113" s="71"/>
      <c r="YV113" s="71"/>
      <c r="YW113" s="71"/>
      <c r="YX113" s="71"/>
      <c r="YY113" s="71"/>
      <c r="YZ113" s="71"/>
      <c r="ZA113" s="71"/>
      <c r="ZB113" s="71"/>
      <c r="ZC113" s="71"/>
      <c r="ZD113" s="71"/>
      <c r="ZE113" s="71"/>
      <c r="ZF113" s="71"/>
      <c r="ZG113" s="71"/>
      <c r="ZH113" s="71"/>
      <c r="ZI113" s="71"/>
      <c r="ZJ113" s="71"/>
      <c r="ZK113" s="71"/>
      <c r="ZL113" s="71"/>
      <c r="ZM113" s="71"/>
      <c r="ZN113" s="71"/>
      <c r="ZO113" s="71"/>
      <c r="ZP113" s="71"/>
      <c r="ZQ113" s="71"/>
      <c r="ZR113" s="71"/>
      <c r="ZS113" s="71"/>
      <c r="ZT113" s="71"/>
      <c r="ZU113" s="71"/>
      <c r="ZV113" s="71"/>
      <c r="ZW113" s="71"/>
      <c r="ZX113" s="71"/>
      <c r="ZY113" s="71"/>
      <c r="ZZ113" s="71"/>
      <c r="AAA113" s="71"/>
      <c r="AAB113" s="71"/>
      <c r="AAC113" s="71"/>
      <c r="AAD113" s="71"/>
      <c r="AAE113" s="71"/>
      <c r="AAF113" s="71"/>
      <c r="AAG113" s="71"/>
      <c r="AAH113" s="71"/>
      <c r="AAI113" s="71"/>
      <c r="AAJ113" s="71"/>
      <c r="AAK113" s="71"/>
      <c r="AAL113" s="71"/>
      <c r="AAM113" s="71"/>
      <c r="AAN113" s="71"/>
      <c r="AAO113" s="71"/>
      <c r="AAP113" s="71"/>
      <c r="AAQ113" s="71"/>
      <c r="AAR113" s="71"/>
      <c r="AAS113" s="71"/>
      <c r="AAT113" s="71"/>
      <c r="AAU113" s="71"/>
      <c r="AAV113" s="71"/>
      <c r="AAW113" s="71"/>
      <c r="AAX113" s="71"/>
      <c r="AAY113" s="71"/>
      <c r="AAZ113" s="71"/>
      <c r="ABA113" s="71"/>
      <c r="ABB113" s="71"/>
      <c r="ABC113" s="71"/>
      <c r="ABD113" s="71"/>
      <c r="ABE113" s="71"/>
      <c r="ABF113" s="71"/>
      <c r="ABG113" s="71"/>
      <c r="ABH113" s="71"/>
      <c r="ABI113" s="71"/>
      <c r="ABJ113" s="71"/>
      <c r="ABK113" s="71"/>
      <c r="ABL113" s="71"/>
      <c r="ABM113" s="71"/>
      <c r="ABN113" s="71"/>
      <c r="ABO113" s="71"/>
      <c r="ABP113" s="71"/>
      <c r="ABQ113" s="71"/>
      <c r="ABR113" s="71"/>
      <c r="ABS113" s="71"/>
      <c r="ABT113" s="71"/>
      <c r="ABU113" s="71"/>
      <c r="ABV113" s="71"/>
      <c r="ABW113" s="71"/>
      <c r="ABX113" s="71"/>
      <c r="ABY113" s="71"/>
      <c r="ABZ113" s="71"/>
      <c r="ACA113" s="71"/>
      <c r="ACB113" s="71"/>
      <c r="ACC113" s="71"/>
      <c r="ACD113" s="71"/>
      <c r="ACE113" s="71"/>
      <c r="ACF113" s="71"/>
      <c r="ACG113" s="71"/>
      <c r="ACH113" s="71"/>
      <c r="ACI113" s="71"/>
      <c r="ACJ113" s="71"/>
      <c r="ACK113" s="71"/>
      <c r="ACL113" s="71"/>
      <c r="ACM113" s="71"/>
      <c r="ACN113" s="71"/>
      <c r="ACO113" s="71"/>
      <c r="ACP113" s="71"/>
      <c r="ACQ113" s="71"/>
      <c r="ACR113" s="71"/>
      <c r="ACS113" s="71"/>
      <c r="ACT113" s="71"/>
      <c r="ACU113" s="71"/>
      <c r="ACV113" s="71"/>
      <c r="ACW113" s="71"/>
      <c r="ACX113" s="71"/>
      <c r="ACY113" s="71"/>
      <c r="ACZ113" s="71"/>
      <c r="ADA113" s="71"/>
      <c r="ADB113" s="71"/>
      <c r="ADC113" s="71"/>
      <c r="ADD113" s="71"/>
      <c r="ADE113" s="71"/>
      <c r="ADF113" s="71"/>
      <c r="ADG113" s="71"/>
      <c r="ADH113" s="71"/>
      <c r="ADI113" s="71"/>
      <c r="ADJ113" s="71"/>
      <c r="ADK113" s="71"/>
      <c r="ADL113" s="71"/>
      <c r="ADM113" s="71"/>
      <c r="ADN113" s="71"/>
      <c r="ADO113" s="71"/>
      <c r="ADP113" s="71"/>
      <c r="ADQ113" s="71"/>
      <c r="ADR113" s="71"/>
      <c r="ADS113" s="71"/>
      <c r="ADT113" s="71"/>
      <c r="ADU113" s="71"/>
      <c r="ADV113" s="71"/>
      <c r="ADW113" s="71"/>
      <c r="ADX113" s="71"/>
      <c r="ADY113" s="71"/>
      <c r="ADZ113" s="71"/>
      <c r="AEA113" s="71"/>
      <c r="AEB113" s="71"/>
      <c r="AEC113" s="71"/>
      <c r="AED113" s="71"/>
      <c r="AEE113" s="71"/>
      <c r="AEF113" s="71"/>
      <c r="AEG113" s="71"/>
      <c r="AEH113" s="71"/>
      <c r="AEI113" s="71"/>
      <c r="AEJ113" s="71"/>
      <c r="AEK113" s="71"/>
      <c r="AEL113" s="71"/>
      <c r="AEM113" s="71"/>
      <c r="AEN113" s="71"/>
      <c r="AEO113" s="71"/>
      <c r="AEP113" s="71"/>
      <c r="AEQ113" s="71"/>
      <c r="AER113" s="71"/>
      <c r="AES113" s="71"/>
      <c r="AET113" s="71"/>
      <c r="AEU113" s="71"/>
      <c r="AEV113" s="71"/>
      <c r="AEW113" s="71"/>
      <c r="AEX113" s="71"/>
      <c r="AEY113" s="71"/>
      <c r="AEZ113" s="71"/>
      <c r="AFA113" s="71"/>
      <c r="AFB113" s="71"/>
      <c r="AFC113" s="71"/>
      <c r="AFD113" s="71"/>
      <c r="AFE113" s="71"/>
      <c r="AFF113" s="71"/>
      <c r="AFG113" s="71"/>
      <c r="AFH113" s="71"/>
      <c r="AFI113" s="71"/>
      <c r="AFJ113" s="71"/>
      <c r="AFK113" s="71"/>
      <c r="AFL113" s="71"/>
      <c r="AFM113" s="71"/>
      <c r="AFN113" s="71"/>
      <c r="AFO113" s="71"/>
      <c r="AFP113" s="71"/>
      <c r="AFQ113" s="71"/>
      <c r="AFR113" s="71"/>
      <c r="AFS113" s="71"/>
      <c r="AFT113" s="71"/>
      <c r="AFU113" s="71"/>
      <c r="AFV113" s="71"/>
      <c r="AFW113" s="71"/>
      <c r="AFX113" s="71"/>
      <c r="AFY113" s="71"/>
      <c r="AFZ113" s="71"/>
      <c r="AGA113" s="71"/>
      <c r="AGB113" s="71"/>
      <c r="AGC113" s="71"/>
      <c r="AGD113" s="71"/>
      <c r="AGE113" s="71"/>
      <c r="AGF113" s="71"/>
      <c r="AGG113" s="71"/>
      <c r="AGH113" s="71"/>
      <c r="AGI113" s="71"/>
      <c r="AGJ113" s="71"/>
      <c r="AGK113" s="71"/>
      <c r="AGL113" s="71"/>
      <c r="AGM113" s="71"/>
      <c r="AGN113" s="71"/>
      <c r="AGO113" s="71"/>
      <c r="AGP113" s="71"/>
      <c r="AGQ113" s="71"/>
      <c r="AGR113" s="71"/>
      <c r="AGS113" s="71"/>
      <c r="AGT113" s="71"/>
      <c r="AGU113" s="71"/>
      <c r="AGV113" s="71"/>
      <c r="AGW113" s="71"/>
      <c r="AGX113" s="71"/>
      <c r="AGY113" s="71"/>
      <c r="AGZ113" s="71"/>
      <c r="AHA113" s="71"/>
      <c r="AHB113" s="71"/>
      <c r="AHC113" s="71"/>
      <c r="AHD113" s="71"/>
      <c r="AHE113" s="71"/>
      <c r="AHF113" s="71"/>
      <c r="AHG113" s="71"/>
      <c r="AHH113" s="71"/>
      <c r="AHI113" s="71"/>
      <c r="AHJ113" s="71"/>
      <c r="AHK113" s="71"/>
      <c r="AHL113" s="71"/>
      <c r="AHM113" s="71"/>
      <c r="AHN113" s="71"/>
      <c r="AHO113" s="71"/>
      <c r="AHP113" s="71"/>
      <c r="AHQ113" s="71"/>
      <c r="AHR113" s="71"/>
      <c r="AHS113" s="71"/>
      <c r="AHT113" s="71"/>
      <c r="AHU113" s="71"/>
      <c r="AHV113" s="71"/>
      <c r="AHW113" s="71"/>
      <c r="AHX113" s="71"/>
      <c r="AHY113" s="71"/>
      <c r="AHZ113" s="71"/>
      <c r="AIA113" s="71"/>
      <c r="AIB113" s="71"/>
      <c r="AIC113" s="71"/>
      <c r="AID113" s="71"/>
      <c r="AIE113" s="71"/>
      <c r="AIF113" s="71"/>
      <c r="AIG113" s="71"/>
      <c r="AIH113" s="71"/>
      <c r="AII113" s="71"/>
      <c r="AIJ113" s="71"/>
      <c r="AIK113" s="71"/>
      <c r="AIL113" s="71"/>
      <c r="AIM113" s="71"/>
      <c r="AIN113" s="71"/>
      <c r="AIO113" s="71"/>
      <c r="AIP113" s="71"/>
      <c r="AIQ113" s="71"/>
      <c r="AIR113" s="71"/>
      <c r="AIS113" s="71"/>
      <c r="AIT113" s="71"/>
      <c r="AIU113" s="71"/>
      <c r="AIV113" s="71"/>
      <c r="AIW113" s="71"/>
      <c r="AIX113" s="71"/>
      <c r="AIY113" s="71"/>
      <c r="AIZ113" s="71"/>
      <c r="AJA113" s="71"/>
      <c r="AJB113" s="71"/>
      <c r="AJC113" s="71"/>
      <c r="AJD113" s="71"/>
      <c r="AJE113" s="71"/>
      <c r="AJF113" s="71"/>
      <c r="AJG113" s="71"/>
      <c r="AJH113" s="71"/>
      <c r="AJI113" s="71"/>
      <c r="AJJ113" s="71"/>
      <c r="AJK113" s="71"/>
      <c r="AJL113" s="71"/>
      <c r="AJM113" s="71"/>
      <c r="AJN113" s="71"/>
      <c r="AJO113" s="71"/>
      <c r="AJP113" s="71"/>
      <c r="AJQ113" s="71"/>
      <c r="AJR113" s="71"/>
      <c r="AJS113" s="71"/>
      <c r="AJT113" s="71"/>
      <c r="AJU113" s="71"/>
      <c r="AJV113" s="71"/>
      <c r="AJW113" s="71"/>
      <c r="AJX113" s="71"/>
      <c r="AJY113" s="71"/>
      <c r="AJZ113" s="71"/>
      <c r="AKA113" s="71"/>
      <c r="AKB113" s="71"/>
      <c r="AKC113" s="71"/>
      <c r="AKD113" s="71"/>
      <c r="AKE113" s="71"/>
      <c r="AKF113" s="71"/>
      <c r="AKG113" s="71"/>
      <c r="AKH113" s="71"/>
      <c r="AKI113" s="71"/>
      <c r="AKJ113" s="71"/>
      <c r="AKK113" s="71"/>
      <c r="AKL113" s="71"/>
      <c r="AKM113" s="71"/>
      <c r="AKN113" s="71"/>
      <c r="AKO113" s="71"/>
      <c r="AKP113" s="71"/>
      <c r="AKQ113" s="71"/>
      <c r="AKR113" s="71"/>
      <c r="AKS113" s="71"/>
      <c r="AKT113" s="71"/>
      <c r="AKU113" s="71"/>
      <c r="AKV113" s="71"/>
      <c r="AKW113" s="71"/>
      <c r="AKX113" s="71"/>
      <c r="AKY113" s="71"/>
      <c r="AKZ113" s="71"/>
      <c r="ALA113" s="71"/>
      <c r="ALB113" s="71"/>
      <c r="ALC113" s="71"/>
      <c r="ALD113" s="71"/>
      <c r="ALE113" s="71"/>
      <c r="ALF113" s="71"/>
      <c r="ALG113" s="71"/>
      <c r="ALH113" s="71"/>
      <c r="ALI113" s="71"/>
      <c r="ALJ113" s="71"/>
      <c r="ALK113" s="71"/>
      <c r="ALL113" s="71"/>
      <c r="ALM113" s="71"/>
      <c r="ALN113" s="71"/>
      <c r="ALO113" s="71"/>
      <c r="ALP113" s="71"/>
      <c r="ALQ113" s="71"/>
      <c r="ALR113" s="71"/>
      <c r="ALS113" s="71"/>
      <c r="ALT113" s="71"/>
      <c r="ALU113" s="71"/>
      <c r="ALV113" s="71"/>
      <c r="ALW113" s="71"/>
      <c r="ALX113" s="71"/>
      <c r="ALY113" s="71"/>
      <c r="ALZ113" s="71"/>
      <c r="AMA113" s="71"/>
      <c r="AMB113" s="71"/>
      <c r="AMC113" s="71"/>
      <c r="AMD113" s="71"/>
      <c r="AME113" s="71"/>
      <c r="AMF113" s="71"/>
      <c r="AMG113" s="71"/>
      <c r="AMH113" s="71"/>
      <c r="AMI113" s="71"/>
      <c r="AMJ113" s="71"/>
      <c r="AMK113" s="71"/>
      <c r="AML113" s="71"/>
      <c r="AMM113" s="71"/>
      <c r="AMN113" s="71"/>
      <c r="AMO113" s="71"/>
      <c r="AMP113" s="71"/>
      <c r="AMQ113" s="71"/>
      <c r="AMR113" s="71"/>
      <c r="AMS113" s="71"/>
      <c r="AMT113" s="71"/>
      <c r="AMU113" s="71"/>
      <c r="AMV113" s="71"/>
      <c r="AMW113" s="71"/>
      <c r="AMX113" s="71"/>
    </row>
    <row r="114" spans="1:1038" s="4" customFormat="1" ht="33.75" customHeight="1" x14ac:dyDescent="0.5">
      <c r="A114" s="17">
        <v>83</v>
      </c>
      <c r="B114" s="53" t="s">
        <v>322</v>
      </c>
      <c r="C114" s="19" t="s">
        <v>275</v>
      </c>
      <c r="D114" s="54" t="s">
        <v>276</v>
      </c>
      <c r="E114" s="54"/>
      <c r="F114" s="54" t="s">
        <v>277</v>
      </c>
      <c r="G114" s="69"/>
      <c r="H114" s="64">
        <v>46203</v>
      </c>
      <c r="I114" s="20"/>
      <c r="J114" s="39"/>
      <c r="K114" s="150"/>
      <c r="L114" s="39"/>
      <c r="M114" s="39"/>
      <c r="N114" s="165">
        <v>211500</v>
      </c>
      <c r="O114" s="56">
        <v>0</v>
      </c>
      <c r="P114" s="55">
        <v>211500</v>
      </c>
      <c r="Q114" s="56"/>
      <c r="R114" s="55"/>
      <c r="S114" s="56"/>
      <c r="T114" s="57"/>
      <c r="U114" s="57"/>
    </row>
    <row r="115" spans="1:1038" s="4" customFormat="1" ht="27.45" customHeight="1" x14ac:dyDescent="0.5">
      <c r="A115" s="17">
        <v>84</v>
      </c>
      <c r="B115" s="53" t="s">
        <v>322</v>
      </c>
      <c r="C115" s="19" t="s">
        <v>278</v>
      </c>
      <c r="D115" s="54" t="s">
        <v>145</v>
      </c>
      <c r="E115" s="54"/>
      <c r="F115" s="54" t="s">
        <v>153</v>
      </c>
      <c r="G115" s="69"/>
      <c r="H115" s="64">
        <v>46203</v>
      </c>
      <c r="I115" s="20"/>
      <c r="J115" s="39"/>
      <c r="K115" s="150"/>
      <c r="L115" s="39"/>
      <c r="M115" s="39"/>
      <c r="N115" s="165"/>
      <c r="O115" s="56">
        <v>0</v>
      </c>
      <c r="P115" s="55">
        <v>104000</v>
      </c>
      <c r="Q115" s="56"/>
      <c r="R115" s="55"/>
      <c r="S115" s="56"/>
      <c r="T115" s="57"/>
      <c r="U115" s="57"/>
    </row>
    <row r="116" spans="1:1038" s="4" customFormat="1" ht="39.6" customHeight="1" x14ac:dyDescent="0.5">
      <c r="A116" s="17">
        <v>85</v>
      </c>
      <c r="B116" s="53" t="s">
        <v>322</v>
      </c>
      <c r="C116" s="19" t="s">
        <v>279</v>
      </c>
      <c r="D116" s="54" t="s">
        <v>280</v>
      </c>
      <c r="E116" s="54"/>
      <c r="F116" s="54" t="s">
        <v>153</v>
      </c>
      <c r="G116" s="69"/>
      <c r="H116" s="64">
        <v>46203</v>
      </c>
      <c r="I116" s="20"/>
      <c r="J116" s="39"/>
      <c r="K116" s="150"/>
      <c r="L116" s="39"/>
      <c r="M116" s="39"/>
      <c r="N116" s="165">
        <v>329932</v>
      </c>
      <c r="O116" s="56">
        <v>0</v>
      </c>
      <c r="P116" s="55">
        <v>329932</v>
      </c>
      <c r="Q116" s="56"/>
      <c r="R116" s="55"/>
      <c r="S116" s="56"/>
      <c r="T116" s="57"/>
      <c r="U116" s="57"/>
    </row>
    <row r="117" spans="1:1038" s="4" customFormat="1" ht="27.45" customHeight="1" x14ac:dyDescent="0.5">
      <c r="A117" s="82">
        <v>86</v>
      </c>
      <c r="B117" s="83" t="s">
        <v>322</v>
      </c>
      <c r="C117" s="84" t="s">
        <v>281</v>
      </c>
      <c r="D117" s="85" t="s">
        <v>282</v>
      </c>
      <c r="E117" s="85"/>
      <c r="F117" s="85" t="s">
        <v>277</v>
      </c>
      <c r="G117" s="86"/>
      <c r="H117" s="87">
        <v>46203</v>
      </c>
      <c r="I117" s="88"/>
      <c r="J117" s="98"/>
      <c r="K117" s="156"/>
      <c r="L117" s="39"/>
      <c r="M117" s="39"/>
      <c r="N117" s="166">
        <v>208008</v>
      </c>
      <c r="O117" s="91">
        <v>0</v>
      </c>
      <c r="P117" s="90">
        <v>208008</v>
      </c>
      <c r="Q117" s="91"/>
      <c r="R117" s="90"/>
      <c r="S117" s="91"/>
      <c r="T117" s="92"/>
      <c r="U117" s="92"/>
    </row>
    <row r="118" spans="1:1038" s="14" customFormat="1" ht="27.45" customHeight="1" x14ac:dyDescent="0.5">
      <c r="A118" s="76"/>
      <c r="B118" s="182" t="s">
        <v>62</v>
      </c>
      <c r="C118" s="182"/>
      <c r="D118" s="182"/>
      <c r="E118" s="182"/>
      <c r="F118" s="182"/>
      <c r="G118" s="77"/>
      <c r="H118" s="78"/>
      <c r="I118" s="47"/>
      <c r="J118" s="97"/>
      <c r="K118" s="157"/>
      <c r="L118" s="96"/>
      <c r="M118" s="96"/>
      <c r="N118" s="62">
        <f>SUM(N114:N117)</f>
        <v>749440</v>
      </c>
      <c r="O118" s="36">
        <f>SUM(O114:O117)</f>
        <v>0</v>
      </c>
      <c r="P118" s="36">
        <f>SUM(P114:P117)</f>
        <v>853440</v>
      </c>
      <c r="Q118" s="36">
        <f>SUM(Q114:Q117)</f>
        <v>0</v>
      </c>
      <c r="R118" s="35"/>
      <c r="S118" s="35"/>
      <c r="T118" s="81">
        <f>SUM(T114:T117)</f>
        <v>0</v>
      </c>
      <c r="U118" s="81">
        <f>SUM(U114:U117)</f>
        <v>0</v>
      </c>
    </row>
    <row r="119" spans="1:1038" s="6" customFormat="1" ht="27.45" customHeight="1" x14ac:dyDescent="0.25">
      <c r="A119" s="99"/>
      <c r="B119" s="100"/>
      <c r="C119" s="100"/>
      <c r="D119" s="100"/>
      <c r="E119" s="100"/>
      <c r="F119" s="100"/>
      <c r="G119" s="101"/>
      <c r="H119" s="102"/>
      <c r="I119" s="94"/>
      <c r="J119" s="103"/>
      <c r="K119" s="158"/>
      <c r="L119" s="39"/>
      <c r="M119" s="39"/>
      <c r="N119" s="167"/>
      <c r="O119" s="105"/>
      <c r="P119" s="104"/>
      <c r="Q119" s="105"/>
      <c r="R119" s="104"/>
      <c r="S119" s="105"/>
      <c r="T119" s="106"/>
      <c r="U119" s="99"/>
    </row>
    <row r="120" spans="1:1038" s="7" customFormat="1" ht="27.45" customHeight="1" x14ac:dyDescent="0.25">
      <c r="A120" s="74"/>
      <c r="B120" s="185" t="s">
        <v>334</v>
      </c>
      <c r="C120" s="185"/>
      <c r="D120" s="185"/>
      <c r="E120" s="185"/>
      <c r="F120" s="185"/>
      <c r="G120" s="186"/>
      <c r="H120" s="187"/>
      <c r="I120" s="185"/>
      <c r="J120" s="188"/>
      <c r="K120" s="189"/>
      <c r="L120" s="190"/>
      <c r="M120" s="190"/>
      <c r="N120" s="191"/>
      <c r="O120" s="188"/>
      <c r="P120" s="188"/>
      <c r="Q120" s="188"/>
      <c r="R120" s="188"/>
      <c r="S120" s="188"/>
      <c r="T120" s="188"/>
      <c r="U120" s="188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  <c r="AV120" s="72"/>
      <c r="AW120" s="72"/>
      <c r="AX120" s="72"/>
      <c r="AY120" s="72"/>
      <c r="AZ120" s="72"/>
      <c r="BA120" s="72"/>
      <c r="BB120" s="72"/>
      <c r="BC120" s="72"/>
      <c r="BD120" s="72"/>
      <c r="BE120" s="72"/>
      <c r="BF120" s="72"/>
      <c r="BG120" s="72"/>
      <c r="BH120" s="72"/>
      <c r="BI120" s="72"/>
      <c r="BJ120" s="72"/>
      <c r="BK120" s="72"/>
      <c r="BL120" s="72"/>
      <c r="BM120" s="72"/>
      <c r="BN120" s="72"/>
      <c r="BO120" s="72"/>
      <c r="BP120" s="72"/>
      <c r="BQ120" s="72"/>
      <c r="BR120" s="72"/>
      <c r="BS120" s="72"/>
      <c r="BT120" s="72"/>
      <c r="BU120" s="72"/>
      <c r="BV120" s="72"/>
      <c r="BW120" s="72"/>
      <c r="BX120" s="72"/>
      <c r="BY120" s="72"/>
      <c r="BZ120" s="72"/>
      <c r="CA120" s="72"/>
      <c r="CB120" s="72"/>
      <c r="CC120" s="72"/>
      <c r="CD120" s="72"/>
      <c r="CE120" s="72"/>
      <c r="CF120" s="72"/>
      <c r="CG120" s="72"/>
      <c r="CH120" s="72"/>
      <c r="CI120" s="72"/>
      <c r="CJ120" s="72"/>
      <c r="CK120" s="72"/>
      <c r="CL120" s="72"/>
      <c r="CM120" s="72"/>
      <c r="CN120" s="72"/>
      <c r="CO120" s="72"/>
      <c r="CP120" s="72"/>
      <c r="CQ120" s="72"/>
      <c r="CR120" s="72"/>
      <c r="CS120" s="72"/>
      <c r="CT120" s="72"/>
      <c r="CU120" s="72"/>
      <c r="CV120" s="72"/>
      <c r="CW120" s="72"/>
      <c r="CX120" s="72"/>
      <c r="CY120" s="72"/>
      <c r="CZ120" s="72"/>
      <c r="DA120" s="72"/>
      <c r="DB120" s="72"/>
      <c r="DC120" s="72"/>
      <c r="DD120" s="72"/>
      <c r="DE120" s="72"/>
      <c r="DF120" s="72"/>
      <c r="DG120" s="72"/>
      <c r="DH120" s="72"/>
      <c r="DI120" s="72"/>
      <c r="DJ120" s="72"/>
      <c r="DK120" s="72"/>
      <c r="DL120" s="72"/>
      <c r="DM120" s="72"/>
      <c r="DN120" s="72"/>
      <c r="DO120" s="72"/>
      <c r="DP120" s="72"/>
      <c r="DQ120" s="72"/>
      <c r="DR120" s="72"/>
      <c r="DS120" s="72"/>
      <c r="DT120" s="72"/>
      <c r="DU120" s="72"/>
      <c r="DV120" s="72"/>
      <c r="DW120" s="72"/>
      <c r="DX120" s="72"/>
      <c r="DY120" s="72"/>
      <c r="DZ120" s="72"/>
      <c r="EA120" s="72"/>
      <c r="EB120" s="72"/>
      <c r="EC120" s="72"/>
      <c r="ED120" s="72"/>
      <c r="EE120" s="72"/>
      <c r="EF120" s="72"/>
      <c r="EG120" s="72"/>
      <c r="EH120" s="72"/>
      <c r="EI120" s="72"/>
      <c r="EJ120" s="72"/>
      <c r="EK120" s="72"/>
      <c r="EL120" s="72"/>
      <c r="EM120" s="72"/>
      <c r="EN120" s="72"/>
      <c r="EO120" s="72"/>
      <c r="EP120" s="72"/>
      <c r="EQ120" s="72"/>
      <c r="ER120" s="72"/>
      <c r="ES120" s="72"/>
      <c r="ET120" s="72"/>
      <c r="EU120" s="72"/>
      <c r="EV120" s="72"/>
      <c r="EW120" s="72"/>
      <c r="EX120" s="72"/>
      <c r="EY120" s="72"/>
      <c r="EZ120" s="72"/>
      <c r="FA120" s="72"/>
      <c r="FB120" s="72"/>
      <c r="FC120" s="72"/>
      <c r="FD120" s="72"/>
      <c r="FE120" s="72"/>
      <c r="FF120" s="72"/>
      <c r="FG120" s="72"/>
      <c r="FH120" s="72"/>
      <c r="FI120" s="72"/>
      <c r="FJ120" s="72"/>
      <c r="FK120" s="72"/>
      <c r="FL120" s="72"/>
      <c r="FM120" s="72"/>
      <c r="FN120" s="72"/>
      <c r="FO120" s="72"/>
      <c r="FP120" s="72"/>
      <c r="FQ120" s="72"/>
      <c r="FR120" s="72"/>
      <c r="FS120" s="72"/>
      <c r="FT120" s="72"/>
      <c r="FU120" s="72"/>
      <c r="FV120" s="72"/>
      <c r="FW120" s="72"/>
      <c r="FX120" s="72"/>
      <c r="FY120" s="72"/>
      <c r="FZ120" s="72"/>
      <c r="GA120" s="72"/>
      <c r="GB120" s="72"/>
      <c r="GC120" s="72"/>
      <c r="GD120" s="72"/>
      <c r="GE120" s="72"/>
      <c r="GF120" s="72"/>
      <c r="GG120" s="72"/>
      <c r="GH120" s="72"/>
      <c r="GI120" s="72"/>
      <c r="GJ120" s="72"/>
      <c r="GK120" s="72"/>
      <c r="GL120" s="72"/>
      <c r="GM120" s="72"/>
      <c r="GN120" s="72"/>
      <c r="GO120" s="72"/>
      <c r="GP120" s="72"/>
      <c r="GQ120" s="72"/>
      <c r="GR120" s="72"/>
      <c r="GS120" s="72"/>
      <c r="GT120" s="72"/>
      <c r="GU120" s="72"/>
      <c r="GV120" s="72"/>
      <c r="GW120" s="72"/>
      <c r="GX120" s="72"/>
      <c r="GY120" s="72"/>
      <c r="GZ120" s="72"/>
      <c r="HA120" s="72"/>
      <c r="HB120" s="72"/>
      <c r="HC120" s="72"/>
      <c r="HD120" s="72"/>
      <c r="HE120" s="72"/>
      <c r="HF120" s="72"/>
      <c r="HG120" s="72"/>
      <c r="HH120" s="72"/>
      <c r="HI120" s="72"/>
      <c r="HJ120" s="72"/>
      <c r="HK120" s="72"/>
      <c r="HL120" s="72"/>
      <c r="HM120" s="72"/>
      <c r="HN120" s="72"/>
      <c r="HO120" s="72"/>
      <c r="HP120" s="72"/>
      <c r="HQ120" s="72"/>
      <c r="HR120" s="72"/>
      <c r="HS120" s="72"/>
      <c r="HT120" s="72"/>
      <c r="HU120" s="72"/>
      <c r="HV120" s="72"/>
      <c r="HW120" s="72"/>
      <c r="HX120" s="72"/>
      <c r="HY120" s="72"/>
      <c r="HZ120" s="72"/>
      <c r="IA120" s="72"/>
      <c r="IB120" s="72"/>
      <c r="IC120" s="72"/>
      <c r="ID120" s="72"/>
      <c r="IE120" s="72"/>
      <c r="IF120" s="72"/>
      <c r="IG120" s="72"/>
      <c r="IH120" s="72"/>
      <c r="II120" s="72"/>
      <c r="IJ120" s="72"/>
      <c r="IK120" s="72"/>
      <c r="IL120" s="72"/>
      <c r="IM120" s="72"/>
      <c r="IN120" s="72"/>
      <c r="IO120" s="72"/>
      <c r="IP120" s="72"/>
      <c r="IQ120" s="72"/>
      <c r="IR120" s="72"/>
      <c r="IS120" s="72"/>
      <c r="IT120" s="72"/>
      <c r="IU120" s="72"/>
      <c r="IV120" s="72"/>
      <c r="IW120" s="72"/>
      <c r="IX120" s="72"/>
      <c r="IY120" s="72"/>
      <c r="IZ120" s="72"/>
      <c r="JA120" s="72"/>
      <c r="JB120" s="72"/>
      <c r="JC120" s="72"/>
      <c r="JD120" s="72"/>
      <c r="JE120" s="72"/>
      <c r="JF120" s="72"/>
      <c r="JG120" s="72"/>
      <c r="JH120" s="72"/>
      <c r="JI120" s="72"/>
      <c r="JJ120" s="72"/>
      <c r="JK120" s="72"/>
      <c r="JL120" s="72"/>
      <c r="JM120" s="72"/>
      <c r="JN120" s="72"/>
      <c r="JO120" s="72"/>
      <c r="JP120" s="72"/>
      <c r="JQ120" s="72"/>
      <c r="JR120" s="72"/>
      <c r="JS120" s="72"/>
      <c r="JT120" s="72"/>
      <c r="JU120" s="72"/>
      <c r="JV120" s="72"/>
      <c r="JW120" s="72"/>
      <c r="JX120" s="72"/>
      <c r="JY120" s="72"/>
      <c r="JZ120" s="72"/>
      <c r="KA120" s="72"/>
      <c r="KB120" s="72"/>
      <c r="KC120" s="72"/>
      <c r="KD120" s="72"/>
      <c r="KE120" s="72"/>
      <c r="KF120" s="72"/>
      <c r="KG120" s="72"/>
      <c r="KH120" s="72"/>
      <c r="KI120" s="72"/>
      <c r="KJ120" s="72"/>
      <c r="KK120" s="72"/>
      <c r="KL120" s="72"/>
      <c r="KM120" s="72"/>
      <c r="KN120" s="72"/>
      <c r="KO120" s="72"/>
      <c r="KP120" s="72"/>
      <c r="KQ120" s="72"/>
      <c r="KR120" s="72"/>
      <c r="KS120" s="72"/>
      <c r="KT120" s="72"/>
      <c r="KU120" s="72"/>
      <c r="KV120" s="72"/>
      <c r="KW120" s="72"/>
      <c r="KX120" s="72"/>
      <c r="KY120" s="72"/>
      <c r="KZ120" s="72"/>
      <c r="LA120" s="72"/>
      <c r="LB120" s="72"/>
      <c r="LC120" s="72"/>
      <c r="LD120" s="72"/>
      <c r="LE120" s="72"/>
      <c r="LF120" s="72"/>
      <c r="LG120" s="72"/>
      <c r="LH120" s="72"/>
      <c r="LI120" s="72"/>
      <c r="LJ120" s="72"/>
      <c r="LK120" s="72"/>
      <c r="LL120" s="72"/>
      <c r="LM120" s="72"/>
      <c r="LN120" s="72"/>
      <c r="LO120" s="72"/>
      <c r="LP120" s="72"/>
      <c r="LQ120" s="72"/>
      <c r="LR120" s="72"/>
      <c r="LS120" s="72"/>
      <c r="LT120" s="72"/>
      <c r="LU120" s="72"/>
      <c r="LV120" s="72"/>
      <c r="LW120" s="72"/>
      <c r="LX120" s="72"/>
      <c r="LY120" s="72"/>
      <c r="LZ120" s="72"/>
      <c r="MA120" s="72"/>
      <c r="MB120" s="72"/>
      <c r="MC120" s="72"/>
      <c r="MD120" s="72"/>
      <c r="ME120" s="72"/>
      <c r="MF120" s="72"/>
      <c r="MG120" s="72"/>
      <c r="MH120" s="72"/>
      <c r="MI120" s="72"/>
      <c r="MJ120" s="72"/>
      <c r="MK120" s="72"/>
      <c r="ML120" s="72"/>
      <c r="MM120" s="72"/>
      <c r="MN120" s="72"/>
      <c r="MO120" s="72"/>
      <c r="MP120" s="72"/>
      <c r="MQ120" s="72"/>
      <c r="MR120" s="72"/>
      <c r="MS120" s="72"/>
      <c r="MT120" s="72"/>
      <c r="MU120" s="72"/>
      <c r="MV120" s="72"/>
      <c r="MW120" s="72"/>
      <c r="MX120" s="72"/>
      <c r="MY120" s="72"/>
      <c r="MZ120" s="72"/>
      <c r="NA120" s="72"/>
      <c r="NB120" s="72"/>
      <c r="NC120" s="72"/>
      <c r="ND120" s="72"/>
      <c r="NE120" s="72"/>
      <c r="NF120" s="72"/>
      <c r="NG120" s="72"/>
      <c r="NH120" s="72"/>
      <c r="NI120" s="72"/>
      <c r="NJ120" s="72"/>
      <c r="NK120" s="72"/>
      <c r="NL120" s="72"/>
      <c r="NM120" s="72"/>
      <c r="NN120" s="72"/>
      <c r="NO120" s="72"/>
      <c r="NP120" s="72"/>
      <c r="NQ120" s="72"/>
      <c r="NR120" s="72"/>
      <c r="NS120" s="72"/>
      <c r="NT120" s="72"/>
      <c r="NU120" s="72"/>
      <c r="NV120" s="72"/>
      <c r="NW120" s="72"/>
      <c r="NX120" s="72"/>
      <c r="NY120" s="72"/>
      <c r="NZ120" s="72"/>
      <c r="OA120" s="72"/>
      <c r="OB120" s="72"/>
      <c r="OC120" s="72"/>
      <c r="OD120" s="72"/>
      <c r="OE120" s="72"/>
      <c r="OF120" s="72"/>
      <c r="OG120" s="72"/>
      <c r="OH120" s="72"/>
      <c r="OI120" s="72"/>
      <c r="OJ120" s="72"/>
      <c r="OK120" s="72"/>
      <c r="OL120" s="72"/>
      <c r="OM120" s="72"/>
      <c r="ON120" s="72"/>
      <c r="OO120" s="72"/>
      <c r="OP120" s="72"/>
      <c r="OQ120" s="72"/>
      <c r="OR120" s="72"/>
      <c r="OS120" s="72"/>
      <c r="OT120" s="72"/>
      <c r="OU120" s="72"/>
      <c r="OV120" s="72"/>
      <c r="OW120" s="72"/>
      <c r="OX120" s="72"/>
      <c r="OY120" s="72"/>
      <c r="OZ120" s="72"/>
      <c r="PA120" s="72"/>
      <c r="PB120" s="72"/>
      <c r="PC120" s="72"/>
      <c r="PD120" s="72"/>
      <c r="PE120" s="72"/>
      <c r="PF120" s="72"/>
      <c r="PG120" s="72"/>
      <c r="PH120" s="72"/>
      <c r="PI120" s="72"/>
      <c r="PJ120" s="72"/>
      <c r="PK120" s="72"/>
      <c r="PL120" s="72"/>
      <c r="PM120" s="72"/>
      <c r="PN120" s="72"/>
      <c r="PO120" s="72"/>
      <c r="PP120" s="72"/>
      <c r="PQ120" s="72"/>
      <c r="PR120" s="72"/>
      <c r="PS120" s="72"/>
      <c r="PT120" s="72"/>
      <c r="PU120" s="72"/>
      <c r="PV120" s="72"/>
      <c r="PW120" s="72"/>
      <c r="PX120" s="72"/>
      <c r="PY120" s="72"/>
      <c r="PZ120" s="72"/>
      <c r="QA120" s="72"/>
      <c r="QB120" s="72"/>
      <c r="QC120" s="72"/>
      <c r="QD120" s="72"/>
      <c r="QE120" s="72"/>
      <c r="QF120" s="72"/>
      <c r="QG120" s="72"/>
      <c r="QH120" s="72"/>
      <c r="QI120" s="72"/>
      <c r="QJ120" s="72"/>
      <c r="QK120" s="72"/>
      <c r="QL120" s="72"/>
      <c r="QM120" s="72"/>
      <c r="QN120" s="72"/>
      <c r="QO120" s="72"/>
      <c r="QP120" s="72"/>
      <c r="QQ120" s="72"/>
      <c r="QR120" s="72"/>
      <c r="QS120" s="72"/>
      <c r="QT120" s="72"/>
      <c r="QU120" s="72"/>
      <c r="QV120" s="72"/>
      <c r="QW120" s="72"/>
      <c r="QX120" s="72"/>
      <c r="QY120" s="72"/>
      <c r="QZ120" s="72"/>
      <c r="RA120" s="72"/>
      <c r="RB120" s="72"/>
      <c r="RC120" s="72"/>
      <c r="RD120" s="72"/>
      <c r="RE120" s="72"/>
      <c r="RF120" s="72"/>
      <c r="RG120" s="72"/>
      <c r="RH120" s="72"/>
      <c r="RI120" s="72"/>
      <c r="RJ120" s="72"/>
      <c r="RK120" s="72"/>
      <c r="RL120" s="72"/>
      <c r="RM120" s="72"/>
      <c r="RN120" s="72"/>
      <c r="RO120" s="72"/>
      <c r="RP120" s="72"/>
      <c r="RQ120" s="72"/>
      <c r="RR120" s="72"/>
      <c r="RS120" s="72"/>
      <c r="RT120" s="72"/>
      <c r="RU120" s="72"/>
      <c r="RV120" s="72"/>
      <c r="RW120" s="72"/>
      <c r="RX120" s="72"/>
      <c r="RY120" s="72"/>
      <c r="RZ120" s="72"/>
      <c r="SA120" s="72"/>
      <c r="SB120" s="72"/>
      <c r="SC120" s="72"/>
      <c r="SD120" s="72"/>
      <c r="SE120" s="72"/>
      <c r="SF120" s="72"/>
      <c r="SG120" s="72"/>
      <c r="SH120" s="72"/>
      <c r="SI120" s="72"/>
      <c r="SJ120" s="72"/>
      <c r="SK120" s="72"/>
      <c r="SL120" s="72"/>
      <c r="SM120" s="72"/>
      <c r="SN120" s="72"/>
      <c r="SO120" s="72"/>
      <c r="SP120" s="72"/>
      <c r="SQ120" s="72"/>
      <c r="SR120" s="72"/>
      <c r="SS120" s="72"/>
      <c r="ST120" s="72"/>
      <c r="SU120" s="72"/>
      <c r="SV120" s="72"/>
      <c r="SW120" s="72"/>
      <c r="SX120" s="72"/>
      <c r="SY120" s="72"/>
      <c r="SZ120" s="72"/>
      <c r="TA120" s="72"/>
      <c r="TB120" s="72"/>
      <c r="TC120" s="72"/>
      <c r="TD120" s="72"/>
      <c r="TE120" s="72"/>
      <c r="TF120" s="72"/>
      <c r="TG120" s="72"/>
      <c r="TH120" s="72"/>
      <c r="TI120" s="72"/>
      <c r="TJ120" s="72"/>
      <c r="TK120" s="72"/>
      <c r="TL120" s="72"/>
      <c r="TM120" s="72"/>
      <c r="TN120" s="72"/>
      <c r="TO120" s="72"/>
      <c r="TP120" s="72"/>
      <c r="TQ120" s="72"/>
      <c r="TR120" s="72"/>
      <c r="TS120" s="72"/>
      <c r="TT120" s="72"/>
      <c r="TU120" s="72"/>
      <c r="TV120" s="72"/>
      <c r="TW120" s="72"/>
      <c r="TX120" s="72"/>
      <c r="TY120" s="72"/>
      <c r="TZ120" s="72"/>
      <c r="UA120" s="72"/>
      <c r="UB120" s="72"/>
      <c r="UC120" s="72"/>
      <c r="UD120" s="72"/>
      <c r="UE120" s="72"/>
      <c r="UF120" s="72"/>
      <c r="UG120" s="72"/>
      <c r="UH120" s="72"/>
      <c r="UI120" s="72"/>
      <c r="UJ120" s="72"/>
      <c r="UK120" s="72"/>
      <c r="UL120" s="72"/>
      <c r="UM120" s="72"/>
      <c r="UN120" s="72"/>
      <c r="UO120" s="72"/>
      <c r="UP120" s="72"/>
      <c r="UQ120" s="72"/>
      <c r="UR120" s="72"/>
      <c r="US120" s="72"/>
      <c r="UT120" s="72"/>
      <c r="UU120" s="72"/>
      <c r="UV120" s="72"/>
      <c r="UW120" s="72"/>
      <c r="UX120" s="72"/>
      <c r="UY120" s="72"/>
      <c r="UZ120" s="72"/>
      <c r="VA120" s="72"/>
      <c r="VB120" s="72"/>
      <c r="VC120" s="72"/>
      <c r="VD120" s="72"/>
      <c r="VE120" s="72"/>
      <c r="VF120" s="72"/>
      <c r="VG120" s="72"/>
      <c r="VH120" s="72"/>
      <c r="VI120" s="72"/>
      <c r="VJ120" s="72"/>
      <c r="VK120" s="72"/>
      <c r="VL120" s="72"/>
      <c r="VM120" s="72"/>
      <c r="VN120" s="72"/>
      <c r="VO120" s="72"/>
      <c r="VP120" s="72"/>
      <c r="VQ120" s="72"/>
      <c r="VR120" s="72"/>
      <c r="VS120" s="72"/>
      <c r="VT120" s="72"/>
      <c r="VU120" s="72"/>
      <c r="VV120" s="72"/>
      <c r="VW120" s="72"/>
      <c r="VX120" s="72"/>
      <c r="VY120" s="72"/>
      <c r="VZ120" s="72"/>
      <c r="WA120" s="72"/>
      <c r="WB120" s="72"/>
      <c r="WC120" s="72"/>
      <c r="WD120" s="72"/>
      <c r="WE120" s="72"/>
      <c r="WF120" s="72"/>
      <c r="WG120" s="72"/>
      <c r="WH120" s="72"/>
      <c r="WI120" s="72"/>
      <c r="WJ120" s="72"/>
      <c r="WK120" s="72"/>
      <c r="WL120" s="72"/>
      <c r="WM120" s="72"/>
      <c r="WN120" s="72"/>
      <c r="WO120" s="72"/>
      <c r="WP120" s="72"/>
      <c r="WQ120" s="72"/>
      <c r="WR120" s="72"/>
      <c r="WS120" s="72"/>
      <c r="WT120" s="72"/>
      <c r="WU120" s="72"/>
      <c r="WV120" s="72"/>
      <c r="WW120" s="72"/>
      <c r="WX120" s="72"/>
      <c r="WY120" s="72"/>
      <c r="WZ120" s="72"/>
      <c r="XA120" s="72"/>
      <c r="XB120" s="72"/>
      <c r="XC120" s="72"/>
      <c r="XD120" s="72"/>
      <c r="XE120" s="72"/>
      <c r="XF120" s="72"/>
      <c r="XG120" s="72"/>
      <c r="XH120" s="72"/>
      <c r="XI120" s="72"/>
      <c r="XJ120" s="72"/>
      <c r="XK120" s="72"/>
      <c r="XL120" s="72"/>
      <c r="XM120" s="72"/>
      <c r="XN120" s="72"/>
      <c r="XO120" s="72"/>
      <c r="XP120" s="72"/>
      <c r="XQ120" s="72"/>
      <c r="XR120" s="72"/>
      <c r="XS120" s="72"/>
      <c r="XT120" s="72"/>
      <c r="XU120" s="72"/>
      <c r="XV120" s="72"/>
      <c r="XW120" s="72"/>
      <c r="XX120" s="72"/>
      <c r="XY120" s="72"/>
      <c r="XZ120" s="72"/>
      <c r="YA120" s="72"/>
      <c r="YB120" s="72"/>
      <c r="YC120" s="72"/>
      <c r="YD120" s="72"/>
      <c r="YE120" s="72"/>
      <c r="YF120" s="72"/>
      <c r="YG120" s="72"/>
      <c r="YH120" s="72"/>
      <c r="YI120" s="72"/>
      <c r="YJ120" s="72"/>
      <c r="YK120" s="72"/>
      <c r="YL120" s="72"/>
      <c r="YM120" s="72"/>
      <c r="YN120" s="72"/>
      <c r="YO120" s="72"/>
      <c r="YP120" s="72"/>
      <c r="YQ120" s="72"/>
      <c r="YR120" s="72"/>
      <c r="YS120" s="72"/>
      <c r="YT120" s="72"/>
      <c r="YU120" s="72"/>
      <c r="YV120" s="72"/>
      <c r="YW120" s="72"/>
      <c r="YX120" s="72"/>
      <c r="YY120" s="72"/>
      <c r="YZ120" s="72"/>
      <c r="ZA120" s="72"/>
      <c r="ZB120" s="72"/>
      <c r="ZC120" s="72"/>
      <c r="ZD120" s="72"/>
      <c r="ZE120" s="72"/>
      <c r="ZF120" s="72"/>
      <c r="ZG120" s="72"/>
      <c r="ZH120" s="72"/>
      <c r="ZI120" s="72"/>
      <c r="ZJ120" s="72"/>
      <c r="ZK120" s="72"/>
      <c r="ZL120" s="72"/>
      <c r="ZM120" s="72"/>
      <c r="ZN120" s="72"/>
      <c r="ZO120" s="72"/>
      <c r="ZP120" s="72"/>
      <c r="ZQ120" s="72"/>
      <c r="ZR120" s="72"/>
      <c r="ZS120" s="72"/>
      <c r="ZT120" s="72"/>
      <c r="ZU120" s="72"/>
      <c r="ZV120" s="72"/>
      <c r="ZW120" s="72"/>
      <c r="ZX120" s="72"/>
      <c r="ZY120" s="72"/>
      <c r="ZZ120" s="72"/>
      <c r="AAA120" s="72"/>
      <c r="AAB120" s="72"/>
      <c r="AAC120" s="72"/>
      <c r="AAD120" s="72"/>
      <c r="AAE120" s="72"/>
      <c r="AAF120" s="72"/>
      <c r="AAG120" s="72"/>
      <c r="AAH120" s="72"/>
      <c r="AAI120" s="72"/>
      <c r="AAJ120" s="72"/>
      <c r="AAK120" s="72"/>
      <c r="AAL120" s="72"/>
      <c r="AAM120" s="72"/>
      <c r="AAN120" s="72"/>
      <c r="AAO120" s="72"/>
      <c r="AAP120" s="72"/>
      <c r="AAQ120" s="72"/>
      <c r="AAR120" s="72"/>
      <c r="AAS120" s="72"/>
      <c r="AAT120" s="72"/>
      <c r="AAU120" s="72"/>
      <c r="AAV120" s="72"/>
      <c r="AAW120" s="72"/>
      <c r="AAX120" s="72"/>
      <c r="AAY120" s="72"/>
      <c r="AAZ120" s="72"/>
      <c r="ABA120" s="72"/>
      <c r="ABB120" s="72"/>
      <c r="ABC120" s="72"/>
      <c r="ABD120" s="72"/>
      <c r="ABE120" s="72"/>
      <c r="ABF120" s="72"/>
      <c r="ABG120" s="72"/>
      <c r="ABH120" s="72"/>
      <c r="ABI120" s="72"/>
      <c r="ABJ120" s="72"/>
      <c r="ABK120" s="72"/>
      <c r="ABL120" s="72"/>
      <c r="ABM120" s="72"/>
      <c r="ABN120" s="72"/>
      <c r="ABO120" s="72"/>
      <c r="ABP120" s="72"/>
      <c r="ABQ120" s="72"/>
      <c r="ABR120" s="72"/>
      <c r="ABS120" s="72"/>
      <c r="ABT120" s="72"/>
      <c r="ABU120" s="72"/>
      <c r="ABV120" s="72"/>
      <c r="ABW120" s="72"/>
      <c r="ABX120" s="72"/>
      <c r="ABY120" s="72"/>
      <c r="ABZ120" s="72"/>
      <c r="ACA120" s="72"/>
      <c r="ACB120" s="72"/>
      <c r="ACC120" s="72"/>
      <c r="ACD120" s="72"/>
      <c r="ACE120" s="72"/>
      <c r="ACF120" s="72"/>
      <c r="ACG120" s="72"/>
      <c r="ACH120" s="72"/>
      <c r="ACI120" s="72"/>
      <c r="ACJ120" s="72"/>
      <c r="ACK120" s="72"/>
      <c r="ACL120" s="72"/>
      <c r="ACM120" s="72"/>
      <c r="ACN120" s="72"/>
      <c r="ACO120" s="72"/>
      <c r="ACP120" s="72"/>
      <c r="ACQ120" s="72"/>
      <c r="ACR120" s="72"/>
      <c r="ACS120" s="72"/>
      <c r="ACT120" s="72"/>
      <c r="ACU120" s="72"/>
      <c r="ACV120" s="72"/>
      <c r="ACW120" s="72"/>
      <c r="ACX120" s="72"/>
      <c r="ACY120" s="72"/>
      <c r="ACZ120" s="72"/>
      <c r="ADA120" s="72"/>
      <c r="ADB120" s="72"/>
      <c r="ADC120" s="72"/>
      <c r="ADD120" s="72"/>
      <c r="ADE120" s="72"/>
      <c r="ADF120" s="72"/>
      <c r="ADG120" s="72"/>
      <c r="ADH120" s="72"/>
      <c r="ADI120" s="72"/>
      <c r="ADJ120" s="72"/>
      <c r="ADK120" s="72"/>
      <c r="ADL120" s="72"/>
      <c r="ADM120" s="72"/>
      <c r="ADN120" s="72"/>
      <c r="ADO120" s="72"/>
      <c r="ADP120" s="72"/>
      <c r="ADQ120" s="72"/>
      <c r="ADR120" s="72"/>
      <c r="ADS120" s="72"/>
      <c r="ADT120" s="72"/>
      <c r="ADU120" s="72"/>
      <c r="ADV120" s="72"/>
      <c r="ADW120" s="72"/>
      <c r="ADX120" s="72"/>
      <c r="ADY120" s="72"/>
      <c r="ADZ120" s="72"/>
      <c r="AEA120" s="72"/>
      <c r="AEB120" s="72"/>
      <c r="AEC120" s="72"/>
      <c r="AED120" s="72"/>
      <c r="AEE120" s="72"/>
      <c r="AEF120" s="72"/>
      <c r="AEG120" s="72"/>
      <c r="AEH120" s="72"/>
      <c r="AEI120" s="72"/>
      <c r="AEJ120" s="72"/>
      <c r="AEK120" s="72"/>
      <c r="AEL120" s="72"/>
      <c r="AEM120" s="72"/>
      <c r="AEN120" s="72"/>
      <c r="AEO120" s="72"/>
      <c r="AEP120" s="72"/>
      <c r="AEQ120" s="72"/>
      <c r="AER120" s="72"/>
      <c r="AES120" s="72"/>
      <c r="AET120" s="72"/>
      <c r="AEU120" s="72"/>
      <c r="AEV120" s="72"/>
      <c r="AEW120" s="72"/>
      <c r="AEX120" s="72"/>
      <c r="AEY120" s="72"/>
      <c r="AEZ120" s="72"/>
      <c r="AFA120" s="72"/>
      <c r="AFB120" s="72"/>
      <c r="AFC120" s="72"/>
      <c r="AFD120" s="72"/>
      <c r="AFE120" s="72"/>
      <c r="AFF120" s="72"/>
      <c r="AFG120" s="72"/>
      <c r="AFH120" s="72"/>
      <c r="AFI120" s="72"/>
      <c r="AFJ120" s="72"/>
      <c r="AFK120" s="72"/>
      <c r="AFL120" s="72"/>
      <c r="AFM120" s="72"/>
      <c r="AFN120" s="72"/>
      <c r="AFO120" s="72"/>
      <c r="AFP120" s="72"/>
      <c r="AFQ120" s="72"/>
      <c r="AFR120" s="72"/>
      <c r="AFS120" s="72"/>
      <c r="AFT120" s="72"/>
      <c r="AFU120" s="72"/>
      <c r="AFV120" s="72"/>
      <c r="AFW120" s="72"/>
      <c r="AFX120" s="72"/>
      <c r="AFY120" s="72"/>
      <c r="AFZ120" s="72"/>
      <c r="AGA120" s="72"/>
      <c r="AGB120" s="72"/>
      <c r="AGC120" s="72"/>
      <c r="AGD120" s="72"/>
      <c r="AGE120" s="72"/>
      <c r="AGF120" s="72"/>
      <c r="AGG120" s="72"/>
      <c r="AGH120" s="72"/>
      <c r="AGI120" s="72"/>
      <c r="AGJ120" s="72"/>
      <c r="AGK120" s="72"/>
      <c r="AGL120" s="72"/>
      <c r="AGM120" s="72"/>
      <c r="AGN120" s="72"/>
      <c r="AGO120" s="72"/>
      <c r="AGP120" s="72"/>
      <c r="AGQ120" s="72"/>
      <c r="AGR120" s="72"/>
      <c r="AGS120" s="72"/>
      <c r="AGT120" s="72"/>
      <c r="AGU120" s="72"/>
      <c r="AGV120" s="72"/>
      <c r="AGW120" s="72"/>
      <c r="AGX120" s="72"/>
      <c r="AGY120" s="72"/>
      <c r="AGZ120" s="72"/>
      <c r="AHA120" s="72"/>
      <c r="AHB120" s="72"/>
      <c r="AHC120" s="72"/>
      <c r="AHD120" s="72"/>
      <c r="AHE120" s="72"/>
      <c r="AHF120" s="72"/>
      <c r="AHG120" s="72"/>
      <c r="AHH120" s="72"/>
      <c r="AHI120" s="72"/>
      <c r="AHJ120" s="72"/>
      <c r="AHK120" s="72"/>
      <c r="AHL120" s="72"/>
      <c r="AHM120" s="72"/>
      <c r="AHN120" s="72"/>
      <c r="AHO120" s="72"/>
      <c r="AHP120" s="72"/>
      <c r="AHQ120" s="72"/>
      <c r="AHR120" s="72"/>
      <c r="AHS120" s="72"/>
      <c r="AHT120" s="72"/>
      <c r="AHU120" s="72"/>
      <c r="AHV120" s="72"/>
      <c r="AHW120" s="72"/>
      <c r="AHX120" s="72"/>
      <c r="AHY120" s="72"/>
      <c r="AHZ120" s="72"/>
      <c r="AIA120" s="72"/>
      <c r="AIB120" s="72"/>
      <c r="AIC120" s="72"/>
      <c r="AID120" s="72"/>
      <c r="AIE120" s="72"/>
      <c r="AIF120" s="72"/>
      <c r="AIG120" s="72"/>
      <c r="AIH120" s="72"/>
      <c r="AII120" s="72"/>
      <c r="AIJ120" s="72"/>
      <c r="AIK120" s="72"/>
      <c r="AIL120" s="72"/>
      <c r="AIM120" s="72"/>
      <c r="AIN120" s="72"/>
      <c r="AIO120" s="72"/>
      <c r="AIP120" s="72"/>
      <c r="AIQ120" s="72"/>
      <c r="AIR120" s="72"/>
      <c r="AIS120" s="72"/>
      <c r="AIT120" s="72"/>
      <c r="AIU120" s="72"/>
      <c r="AIV120" s="72"/>
      <c r="AIW120" s="72"/>
      <c r="AIX120" s="72"/>
      <c r="AIY120" s="72"/>
      <c r="AIZ120" s="72"/>
      <c r="AJA120" s="72"/>
      <c r="AJB120" s="72"/>
      <c r="AJC120" s="72"/>
      <c r="AJD120" s="72"/>
      <c r="AJE120" s="72"/>
      <c r="AJF120" s="72"/>
      <c r="AJG120" s="72"/>
      <c r="AJH120" s="72"/>
      <c r="AJI120" s="72"/>
      <c r="AJJ120" s="72"/>
      <c r="AJK120" s="72"/>
      <c r="AJL120" s="72"/>
      <c r="AJM120" s="72"/>
      <c r="AJN120" s="72"/>
      <c r="AJO120" s="72"/>
      <c r="AJP120" s="72"/>
      <c r="AJQ120" s="72"/>
      <c r="AJR120" s="72"/>
      <c r="AJS120" s="72"/>
      <c r="AJT120" s="72"/>
      <c r="AJU120" s="72"/>
      <c r="AJV120" s="72"/>
      <c r="AJW120" s="72"/>
      <c r="AJX120" s="72"/>
      <c r="AJY120" s="72"/>
      <c r="AJZ120" s="72"/>
      <c r="AKA120" s="72"/>
      <c r="AKB120" s="72"/>
      <c r="AKC120" s="72"/>
      <c r="AKD120" s="72"/>
      <c r="AKE120" s="72"/>
      <c r="AKF120" s="72"/>
      <c r="AKG120" s="72"/>
      <c r="AKH120" s="72"/>
      <c r="AKI120" s="72"/>
      <c r="AKJ120" s="72"/>
      <c r="AKK120" s="72"/>
      <c r="AKL120" s="72"/>
      <c r="AKM120" s="72"/>
      <c r="AKN120" s="72"/>
      <c r="AKO120" s="72"/>
      <c r="AKP120" s="72"/>
      <c r="AKQ120" s="72"/>
      <c r="AKR120" s="72"/>
      <c r="AKS120" s="72"/>
      <c r="AKT120" s="72"/>
      <c r="AKU120" s="72"/>
      <c r="AKV120" s="72"/>
      <c r="AKW120" s="72"/>
      <c r="AKX120" s="72"/>
      <c r="AKY120" s="72"/>
      <c r="AKZ120" s="72"/>
      <c r="ALA120" s="72"/>
      <c r="ALB120" s="72"/>
      <c r="ALC120" s="72"/>
      <c r="ALD120" s="72"/>
      <c r="ALE120" s="72"/>
      <c r="ALF120" s="72"/>
      <c r="ALG120" s="72"/>
      <c r="ALH120" s="72"/>
      <c r="ALI120" s="72"/>
      <c r="ALJ120" s="72"/>
      <c r="ALK120" s="72"/>
      <c r="ALL120" s="72"/>
      <c r="ALM120" s="72"/>
      <c r="ALN120" s="72"/>
      <c r="ALO120" s="72"/>
      <c r="ALP120" s="72"/>
      <c r="ALQ120" s="72"/>
      <c r="ALR120" s="72"/>
      <c r="ALS120" s="72"/>
      <c r="ALT120" s="72"/>
      <c r="ALU120" s="72"/>
      <c r="ALV120" s="72"/>
      <c r="ALW120" s="72"/>
      <c r="ALX120" s="72"/>
      <c r="ALY120" s="72"/>
      <c r="ALZ120" s="72"/>
      <c r="AMA120" s="72"/>
      <c r="AMB120" s="72"/>
      <c r="AMC120" s="72"/>
      <c r="AMD120" s="72"/>
      <c r="AME120" s="72"/>
      <c r="AMF120" s="72"/>
      <c r="AMG120" s="72"/>
      <c r="AMH120" s="72"/>
      <c r="AMI120" s="72"/>
      <c r="AMJ120" s="72"/>
      <c r="AMK120" s="72"/>
      <c r="AML120" s="72"/>
      <c r="AMM120" s="72"/>
      <c r="AMN120" s="72"/>
      <c r="AMO120" s="72"/>
      <c r="AMP120" s="72"/>
      <c r="AMQ120" s="72"/>
      <c r="AMR120" s="72"/>
      <c r="AMS120" s="72"/>
      <c r="AMT120" s="72"/>
      <c r="AMU120" s="72"/>
      <c r="AMV120" s="72"/>
      <c r="AMW120" s="72"/>
      <c r="AMX120" s="72"/>
    </row>
    <row r="121" spans="1:1038" s="5" customFormat="1" ht="39.6" customHeight="1" x14ac:dyDescent="0.5">
      <c r="A121" s="17">
        <v>87</v>
      </c>
      <c r="B121" s="53" t="s">
        <v>322</v>
      </c>
      <c r="C121" s="19" t="s">
        <v>285</v>
      </c>
      <c r="D121" s="54" t="s">
        <v>149</v>
      </c>
      <c r="E121" s="54"/>
      <c r="F121" s="54" t="s">
        <v>153</v>
      </c>
      <c r="G121" s="69"/>
      <c r="H121" s="64">
        <v>46203</v>
      </c>
      <c r="I121" s="20"/>
      <c r="J121" s="22">
        <v>44.70975</v>
      </c>
      <c r="K121" s="149">
        <v>10.608269999999999</v>
      </c>
      <c r="L121" s="22"/>
      <c r="M121" s="22"/>
      <c r="N121" s="165"/>
      <c r="O121" s="56">
        <v>0</v>
      </c>
      <c r="P121" s="55">
        <v>355000</v>
      </c>
      <c r="Q121" s="56"/>
      <c r="R121" s="55"/>
      <c r="S121" s="56"/>
      <c r="T121" s="57"/>
      <c r="U121" s="57"/>
    </row>
    <row r="122" spans="1:1038" s="5" customFormat="1" ht="42.15" customHeight="1" x14ac:dyDescent="0.5">
      <c r="A122" s="82">
        <v>88</v>
      </c>
      <c r="B122" s="83" t="s">
        <v>322</v>
      </c>
      <c r="C122" s="84" t="s">
        <v>286</v>
      </c>
      <c r="D122" s="85" t="s">
        <v>152</v>
      </c>
      <c r="E122" s="85"/>
      <c r="F122" s="85" t="s">
        <v>153</v>
      </c>
      <c r="G122" s="86"/>
      <c r="H122" s="87">
        <v>46203</v>
      </c>
      <c r="I122" s="88"/>
      <c r="J122" s="98"/>
      <c r="K122" s="156"/>
      <c r="L122" s="39"/>
      <c r="M122" s="39"/>
      <c r="N122" s="166"/>
      <c r="O122" s="91">
        <v>0</v>
      </c>
      <c r="P122" s="90">
        <v>110980</v>
      </c>
      <c r="Q122" s="91"/>
      <c r="R122" s="90"/>
      <c r="S122" s="91"/>
      <c r="T122" s="92"/>
      <c r="U122" s="92"/>
    </row>
    <row r="123" spans="1:1038" s="75" customFormat="1" ht="42.15" customHeight="1" x14ac:dyDescent="0.5">
      <c r="A123" s="76"/>
      <c r="B123" s="182" t="s">
        <v>62</v>
      </c>
      <c r="C123" s="182"/>
      <c r="D123" s="182"/>
      <c r="E123" s="182"/>
      <c r="F123" s="182"/>
      <c r="G123" s="77"/>
      <c r="H123" s="78"/>
      <c r="I123" s="47"/>
      <c r="J123" s="97"/>
      <c r="K123" s="157"/>
      <c r="L123" s="96"/>
      <c r="M123" s="96"/>
      <c r="N123" s="62">
        <f>SUM(N121:N122)</f>
        <v>0</v>
      </c>
      <c r="O123" s="36">
        <f>SUM(O121:O122)</f>
        <v>0</v>
      </c>
      <c r="P123" s="36">
        <f>SUM(P121:P122)</f>
        <v>465980</v>
      </c>
      <c r="Q123" s="36">
        <f>SUM(Q121:Q122)</f>
        <v>0</v>
      </c>
      <c r="R123" s="35"/>
      <c r="S123" s="35"/>
      <c r="T123" s="81">
        <f>SUM(T121:T122)</f>
        <v>0</v>
      </c>
      <c r="U123" s="81">
        <f>SUM(U121:U122)</f>
        <v>0</v>
      </c>
    </row>
    <row r="124" spans="1:1038" s="6" customFormat="1" ht="27.45" customHeight="1" x14ac:dyDescent="0.25">
      <c r="A124" s="99"/>
      <c r="B124" s="100"/>
      <c r="C124" s="100"/>
      <c r="D124" s="100"/>
      <c r="E124" s="100"/>
      <c r="F124" s="100"/>
      <c r="G124" s="101"/>
      <c r="H124" s="102"/>
      <c r="I124" s="94"/>
      <c r="J124" s="103"/>
      <c r="K124" s="158"/>
      <c r="L124" s="39"/>
      <c r="M124" s="39"/>
      <c r="N124" s="167"/>
      <c r="O124" s="105"/>
      <c r="P124" s="104"/>
      <c r="Q124" s="105"/>
      <c r="R124" s="104"/>
      <c r="S124" s="105"/>
      <c r="T124" s="106"/>
      <c r="U124" s="99"/>
    </row>
    <row r="125" spans="1:1038" s="7" customFormat="1" ht="27.45" customHeight="1" x14ac:dyDescent="0.25">
      <c r="A125" s="74"/>
      <c r="B125" s="185" t="s">
        <v>335</v>
      </c>
      <c r="C125" s="185"/>
      <c r="D125" s="185"/>
      <c r="E125" s="185"/>
      <c r="F125" s="185"/>
      <c r="G125" s="186"/>
      <c r="H125" s="187"/>
      <c r="I125" s="185"/>
      <c r="J125" s="188"/>
      <c r="K125" s="189"/>
      <c r="L125" s="190"/>
      <c r="M125" s="190"/>
      <c r="N125" s="191"/>
      <c r="O125" s="188"/>
      <c r="P125" s="188"/>
      <c r="Q125" s="188"/>
      <c r="R125" s="188"/>
      <c r="S125" s="188"/>
      <c r="T125" s="188"/>
      <c r="U125" s="188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  <c r="CD125" s="72"/>
      <c r="CE125" s="72"/>
      <c r="CF125" s="72"/>
      <c r="CG125" s="72"/>
      <c r="CH125" s="72"/>
      <c r="CI125" s="72"/>
      <c r="CJ125" s="72"/>
      <c r="CK125" s="72"/>
      <c r="CL125" s="72"/>
      <c r="CM125" s="72"/>
      <c r="CN125" s="72"/>
      <c r="CO125" s="72"/>
      <c r="CP125" s="72"/>
      <c r="CQ125" s="72"/>
      <c r="CR125" s="72"/>
      <c r="CS125" s="72"/>
      <c r="CT125" s="72"/>
      <c r="CU125" s="72"/>
      <c r="CV125" s="72"/>
      <c r="CW125" s="72"/>
      <c r="CX125" s="72"/>
      <c r="CY125" s="72"/>
      <c r="CZ125" s="72"/>
      <c r="DA125" s="72"/>
      <c r="DB125" s="72"/>
      <c r="DC125" s="72"/>
      <c r="DD125" s="72"/>
      <c r="DE125" s="72"/>
      <c r="DF125" s="72"/>
      <c r="DG125" s="72"/>
      <c r="DH125" s="72"/>
      <c r="DI125" s="72"/>
      <c r="DJ125" s="72"/>
      <c r="DK125" s="72"/>
      <c r="DL125" s="72"/>
      <c r="DM125" s="72"/>
      <c r="DN125" s="72"/>
      <c r="DO125" s="72"/>
      <c r="DP125" s="72"/>
      <c r="DQ125" s="72"/>
      <c r="DR125" s="72"/>
      <c r="DS125" s="72"/>
      <c r="DT125" s="72"/>
      <c r="DU125" s="72"/>
      <c r="DV125" s="72"/>
      <c r="DW125" s="72"/>
      <c r="DX125" s="72"/>
      <c r="DY125" s="72"/>
      <c r="DZ125" s="72"/>
      <c r="EA125" s="72"/>
      <c r="EB125" s="72"/>
      <c r="EC125" s="72"/>
      <c r="ED125" s="72"/>
      <c r="EE125" s="72"/>
      <c r="EF125" s="72"/>
      <c r="EG125" s="72"/>
      <c r="EH125" s="72"/>
      <c r="EI125" s="72"/>
      <c r="EJ125" s="72"/>
      <c r="EK125" s="72"/>
      <c r="EL125" s="72"/>
      <c r="EM125" s="72"/>
      <c r="EN125" s="72"/>
      <c r="EO125" s="72"/>
      <c r="EP125" s="72"/>
      <c r="EQ125" s="72"/>
      <c r="ER125" s="72"/>
      <c r="ES125" s="72"/>
      <c r="ET125" s="72"/>
      <c r="EU125" s="72"/>
      <c r="EV125" s="72"/>
      <c r="EW125" s="72"/>
      <c r="EX125" s="72"/>
      <c r="EY125" s="72"/>
      <c r="EZ125" s="72"/>
      <c r="FA125" s="72"/>
      <c r="FB125" s="72"/>
      <c r="FC125" s="72"/>
      <c r="FD125" s="72"/>
      <c r="FE125" s="72"/>
      <c r="FF125" s="72"/>
      <c r="FG125" s="72"/>
      <c r="FH125" s="72"/>
      <c r="FI125" s="72"/>
      <c r="FJ125" s="72"/>
      <c r="FK125" s="72"/>
      <c r="FL125" s="72"/>
      <c r="FM125" s="72"/>
      <c r="FN125" s="72"/>
      <c r="FO125" s="72"/>
      <c r="FP125" s="72"/>
      <c r="FQ125" s="72"/>
      <c r="FR125" s="72"/>
      <c r="FS125" s="72"/>
      <c r="FT125" s="72"/>
      <c r="FU125" s="72"/>
      <c r="FV125" s="72"/>
      <c r="FW125" s="72"/>
      <c r="FX125" s="72"/>
      <c r="FY125" s="72"/>
      <c r="FZ125" s="72"/>
      <c r="GA125" s="72"/>
      <c r="GB125" s="72"/>
      <c r="GC125" s="72"/>
      <c r="GD125" s="72"/>
      <c r="GE125" s="72"/>
      <c r="GF125" s="72"/>
      <c r="GG125" s="72"/>
      <c r="GH125" s="72"/>
      <c r="GI125" s="72"/>
      <c r="GJ125" s="72"/>
      <c r="GK125" s="72"/>
      <c r="GL125" s="72"/>
      <c r="GM125" s="72"/>
      <c r="GN125" s="72"/>
      <c r="GO125" s="72"/>
      <c r="GP125" s="72"/>
      <c r="GQ125" s="72"/>
      <c r="GR125" s="72"/>
      <c r="GS125" s="72"/>
      <c r="GT125" s="72"/>
      <c r="GU125" s="72"/>
      <c r="GV125" s="72"/>
      <c r="GW125" s="72"/>
      <c r="GX125" s="72"/>
      <c r="GY125" s="72"/>
      <c r="GZ125" s="72"/>
      <c r="HA125" s="72"/>
      <c r="HB125" s="72"/>
      <c r="HC125" s="72"/>
      <c r="HD125" s="72"/>
      <c r="HE125" s="72"/>
      <c r="HF125" s="72"/>
      <c r="HG125" s="72"/>
      <c r="HH125" s="72"/>
      <c r="HI125" s="72"/>
      <c r="HJ125" s="72"/>
      <c r="HK125" s="72"/>
      <c r="HL125" s="72"/>
      <c r="HM125" s="72"/>
      <c r="HN125" s="72"/>
      <c r="HO125" s="72"/>
      <c r="HP125" s="72"/>
      <c r="HQ125" s="72"/>
      <c r="HR125" s="72"/>
      <c r="HS125" s="72"/>
      <c r="HT125" s="72"/>
      <c r="HU125" s="72"/>
      <c r="HV125" s="72"/>
      <c r="HW125" s="72"/>
      <c r="HX125" s="72"/>
      <c r="HY125" s="72"/>
      <c r="HZ125" s="72"/>
      <c r="IA125" s="72"/>
      <c r="IB125" s="72"/>
      <c r="IC125" s="72"/>
      <c r="ID125" s="72"/>
      <c r="IE125" s="72"/>
      <c r="IF125" s="72"/>
      <c r="IG125" s="72"/>
      <c r="IH125" s="72"/>
      <c r="II125" s="72"/>
      <c r="IJ125" s="72"/>
      <c r="IK125" s="72"/>
      <c r="IL125" s="72"/>
      <c r="IM125" s="72"/>
      <c r="IN125" s="72"/>
      <c r="IO125" s="72"/>
      <c r="IP125" s="72"/>
      <c r="IQ125" s="72"/>
      <c r="IR125" s="72"/>
      <c r="IS125" s="72"/>
      <c r="IT125" s="72"/>
      <c r="IU125" s="72"/>
      <c r="IV125" s="72"/>
      <c r="IW125" s="72"/>
      <c r="IX125" s="72"/>
      <c r="IY125" s="72"/>
      <c r="IZ125" s="72"/>
      <c r="JA125" s="72"/>
      <c r="JB125" s="72"/>
      <c r="JC125" s="72"/>
      <c r="JD125" s="72"/>
      <c r="JE125" s="72"/>
      <c r="JF125" s="72"/>
      <c r="JG125" s="72"/>
      <c r="JH125" s="72"/>
      <c r="JI125" s="72"/>
      <c r="JJ125" s="72"/>
      <c r="JK125" s="72"/>
      <c r="JL125" s="72"/>
      <c r="JM125" s="72"/>
      <c r="JN125" s="72"/>
      <c r="JO125" s="72"/>
      <c r="JP125" s="72"/>
      <c r="JQ125" s="72"/>
      <c r="JR125" s="72"/>
      <c r="JS125" s="72"/>
      <c r="JT125" s="72"/>
      <c r="JU125" s="72"/>
      <c r="JV125" s="72"/>
      <c r="JW125" s="72"/>
      <c r="JX125" s="72"/>
      <c r="JY125" s="72"/>
      <c r="JZ125" s="72"/>
      <c r="KA125" s="72"/>
      <c r="KB125" s="72"/>
      <c r="KC125" s="72"/>
      <c r="KD125" s="72"/>
      <c r="KE125" s="72"/>
      <c r="KF125" s="72"/>
      <c r="KG125" s="72"/>
      <c r="KH125" s="72"/>
      <c r="KI125" s="72"/>
      <c r="KJ125" s="72"/>
      <c r="KK125" s="72"/>
      <c r="KL125" s="72"/>
      <c r="KM125" s="72"/>
      <c r="KN125" s="72"/>
      <c r="KO125" s="72"/>
      <c r="KP125" s="72"/>
      <c r="KQ125" s="72"/>
      <c r="KR125" s="72"/>
      <c r="KS125" s="72"/>
      <c r="KT125" s="72"/>
      <c r="KU125" s="72"/>
      <c r="KV125" s="72"/>
      <c r="KW125" s="72"/>
      <c r="KX125" s="72"/>
      <c r="KY125" s="72"/>
      <c r="KZ125" s="72"/>
      <c r="LA125" s="72"/>
      <c r="LB125" s="72"/>
      <c r="LC125" s="72"/>
      <c r="LD125" s="72"/>
      <c r="LE125" s="72"/>
      <c r="LF125" s="72"/>
      <c r="LG125" s="72"/>
      <c r="LH125" s="72"/>
      <c r="LI125" s="72"/>
      <c r="LJ125" s="72"/>
      <c r="LK125" s="72"/>
      <c r="LL125" s="72"/>
      <c r="LM125" s="72"/>
      <c r="LN125" s="72"/>
      <c r="LO125" s="72"/>
      <c r="LP125" s="72"/>
      <c r="LQ125" s="72"/>
      <c r="LR125" s="72"/>
      <c r="LS125" s="72"/>
      <c r="LT125" s="72"/>
      <c r="LU125" s="72"/>
      <c r="LV125" s="72"/>
      <c r="LW125" s="72"/>
      <c r="LX125" s="72"/>
      <c r="LY125" s="72"/>
      <c r="LZ125" s="72"/>
      <c r="MA125" s="72"/>
      <c r="MB125" s="72"/>
      <c r="MC125" s="72"/>
      <c r="MD125" s="72"/>
      <c r="ME125" s="72"/>
      <c r="MF125" s="72"/>
      <c r="MG125" s="72"/>
      <c r="MH125" s="72"/>
      <c r="MI125" s="72"/>
      <c r="MJ125" s="72"/>
      <c r="MK125" s="72"/>
      <c r="ML125" s="72"/>
      <c r="MM125" s="72"/>
      <c r="MN125" s="72"/>
      <c r="MO125" s="72"/>
      <c r="MP125" s="72"/>
      <c r="MQ125" s="72"/>
      <c r="MR125" s="72"/>
      <c r="MS125" s="72"/>
      <c r="MT125" s="72"/>
      <c r="MU125" s="72"/>
      <c r="MV125" s="72"/>
      <c r="MW125" s="72"/>
      <c r="MX125" s="72"/>
      <c r="MY125" s="72"/>
      <c r="MZ125" s="72"/>
      <c r="NA125" s="72"/>
      <c r="NB125" s="72"/>
      <c r="NC125" s="72"/>
      <c r="ND125" s="72"/>
      <c r="NE125" s="72"/>
      <c r="NF125" s="72"/>
      <c r="NG125" s="72"/>
      <c r="NH125" s="72"/>
      <c r="NI125" s="72"/>
      <c r="NJ125" s="72"/>
      <c r="NK125" s="72"/>
      <c r="NL125" s="72"/>
      <c r="NM125" s="72"/>
      <c r="NN125" s="72"/>
      <c r="NO125" s="72"/>
      <c r="NP125" s="72"/>
      <c r="NQ125" s="72"/>
      <c r="NR125" s="72"/>
      <c r="NS125" s="72"/>
      <c r="NT125" s="72"/>
      <c r="NU125" s="72"/>
      <c r="NV125" s="72"/>
      <c r="NW125" s="72"/>
      <c r="NX125" s="72"/>
      <c r="NY125" s="72"/>
      <c r="NZ125" s="72"/>
      <c r="OA125" s="72"/>
      <c r="OB125" s="72"/>
      <c r="OC125" s="72"/>
      <c r="OD125" s="72"/>
      <c r="OE125" s="72"/>
      <c r="OF125" s="72"/>
      <c r="OG125" s="72"/>
      <c r="OH125" s="72"/>
      <c r="OI125" s="72"/>
      <c r="OJ125" s="72"/>
      <c r="OK125" s="72"/>
      <c r="OL125" s="72"/>
      <c r="OM125" s="72"/>
      <c r="ON125" s="72"/>
      <c r="OO125" s="72"/>
      <c r="OP125" s="72"/>
      <c r="OQ125" s="72"/>
      <c r="OR125" s="72"/>
      <c r="OS125" s="72"/>
      <c r="OT125" s="72"/>
      <c r="OU125" s="72"/>
      <c r="OV125" s="72"/>
      <c r="OW125" s="72"/>
      <c r="OX125" s="72"/>
      <c r="OY125" s="72"/>
      <c r="OZ125" s="72"/>
      <c r="PA125" s="72"/>
      <c r="PB125" s="72"/>
      <c r="PC125" s="72"/>
      <c r="PD125" s="72"/>
      <c r="PE125" s="72"/>
      <c r="PF125" s="72"/>
      <c r="PG125" s="72"/>
      <c r="PH125" s="72"/>
      <c r="PI125" s="72"/>
      <c r="PJ125" s="72"/>
      <c r="PK125" s="72"/>
      <c r="PL125" s="72"/>
      <c r="PM125" s="72"/>
      <c r="PN125" s="72"/>
      <c r="PO125" s="72"/>
      <c r="PP125" s="72"/>
      <c r="PQ125" s="72"/>
      <c r="PR125" s="72"/>
      <c r="PS125" s="72"/>
      <c r="PT125" s="72"/>
      <c r="PU125" s="72"/>
      <c r="PV125" s="72"/>
      <c r="PW125" s="72"/>
      <c r="PX125" s="72"/>
      <c r="PY125" s="72"/>
      <c r="PZ125" s="72"/>
      <c r="QA125" s="72"/>
      <c r="QB125" s="72"/>
      <c r="QC125" s="72"/>
      <c r="QD125" s="72"/>
      <c r="QE125" s="72"/>
      <c r="QF125" s="72"/>
      <c r="QG125" s="72"/>
      <c r="QH125" s="72"/>
      <c r="QI125" s="72"/>
      <c r="QJ125" s="72"/>
      <c r="QK125" s="72"/>
      <c r="QL125" s="72"/>
      <c r="QM125" s="72"/>
      <c r="QN125" s="72"/>
      <c r="QO125" s="72"/>
      <c r="QP125" s="72"/>
      <c r="QQ125" s="72"/>
      <c r="QR125" s="72"/>
      <c r="QS125" s="72"/>
      <c r="QT125" s="72"/>
      <c r="QU125" s="72"/>
      <c r="QV125" s="72"/>
      <c r="QW125" s="72"/>
      <c r="QX125" s="72"/>
      <c r="QY125" s="72"/>
      <c r="QZ125" s="72"/>
      <c r="RA125" s="72"/>
      <c r="RB125" s="72"/>
      <c r="RC125" s="72"/>
      <c r="RD125" s="72"/>
      <c r="RE125" s="72"/>
      <c r="RF125" s="72"/>
      <c r="RG125" s="72"/>
      <c r="RH125" s="72"/>
      <c r="RI125" s="72"/>
      <c r="RJ125" s="72"/>
      <c r="RK125" s="72"/>
      <c r="RL125" s="72"/>
      <c r="RM125" s="72"/>
      <c r="RN125" s="72"/>
      <c r="RO125" s="72"/>
      <c r="RP125" s="72"/>
      <c r="RQ125" s="72"/>
      <c r="RR125" s="72"/>
      <c r="RS125" s="72"/>
      <c r="RT125" s="72"/>
      <c r="RU125" s="72"/>
      <c r="RV125" s="72"/>
      <c r="RW125" s="72"/>
      <c r="RX125" s="72"/>
      <c r="RY125" s="72"/>
      <c r="RZ125" s="72"/>
      <c r="SA125" s="72"/>
      <c r="SB125" s="72"/>
      <c r="SC125" s="72"/>
      <c r="SD125" s="72"/>
      <c r="SE125" s="72"/>
      <c r="SF125" s="72"/>
      <c r="SG125" s="72"/>
      <c r="SH125" s="72"/>
      <c r="SI125" s="72"/>
      <c r="SJ125" s="72"/>
      <c r="SK125" s="72"/>
      <c r="SL125" s="72"/>
      <c r="SM125" s="72"/>
      <c r="SN125" s="72"/>
      <c r="SO125" s="72"/>
      <c r="SP125" s="72"/>
      <c r="SQ125" s="72"/>
      <c r="SR125" s="72"/>
      <c r="SS125" s="72"/>
      <c r="ST125" s="72"/>
      <c r="SU125" s="72"/>
      <c r="SV125" s="72"/>
      <c r="SW125" s="72"/>
      <c r="SX125" s="72"/>
      <c r="SY125" s="72"/>
      <c r="SZ125" s="72"/>
      <c r="TA125" s="72"/>
      <c r="TB125" s="72"/>
      <c r="TC125" s="72"/>
      <c r="TD125" s="72"/>
      <c r="TE125" s="72"/>
      <c r="TF125" s="72"/>
      <c r="TG125" s="72"/>
      <c r="TH125" s="72"/>
      <c r="TI125" s="72"/>
      <c r="TJ125" s="72"/>
      <c r="TK125" s="72"/>
      <c r="TL125" s="72"/>
      <c r="TM125" s="72"/>
      <c r="TN125" s="72"/>
      <c r="TO125" s="72"/>
      <c r="TP125" s="72"/>
      <c r="TQ125" s="72"/>
      <c r="TR125" s="72"/>
      <c r="TS125" s="72"/>
      <c r="TT125" s="72"/>
      <c r="TU125" s="72"/>
      <c r="TV125" s="72"/>
      <c r="TW125" s="72"/>
      <c r="TX125" s="72"/>
      <c r="TY125" s="72"/>
      <c r="TZ125" s="72"/>
      <c r="UA125" s="72"/>
      <c r="UB125" s="72"/>
      <c r="UC125" s="72"/>
      <c r="UD125" s="72"/>
      <c r="UE125" s="72"/>
      <c r="UF125" s="72"/>
      <c r="UG125" s="72"/>
      <c r="UH125" s="72"/>
      <c r="UI125" s="72"/>
      <c r="UJ125" s="72"/>
      <c r="UK125" s="72"/>
      <c r="UL125" s="72"/>
      <c r="UM125" s="72"/>
      <c r="UN125" s="72"/>
      <c r="UO125" s="72"/>
      <c r="UP125" s="72"/>
      <c r="UQ125" s="72"/>
      <c r="UR125" s="72"/>
      <c r="US125" s="72"/>
      <c r="UT125" s="72"/>
      <c r="UU125" s="72"/>
      <c r="UV125" s="72"/>
      <c r="UW125" s="72"/>
      <c r="UX125" s="72"/>
      <c r="UY125" s="72"/>
      <c r="UZ125" s="72"/>
      <c r="VA125" s="72"/>
      <c r="VB125" s="72"/>
      <c r="VC125" s="72"/>
      <c r="VD125" s="72"/>
      <c r="VE125" s="72"/>
      <c r="VF125" s="72"/>
      <c r="VG125" s="72"/>
      <c r="VH125" s="72"/>
      <c r="VI125" s="72"/>
      <c r="VJ125" s="72"/>
      <c r="VK125" s="72"/>
      <c r="VL125" s="72"/>
      <c r="VM125" s="72"/>
      <c r="VN125" s="72"/>
      <c r="VO125" s="72"/>
      <c r="VP125" s="72"/>
      <c r="VQ125" s="72"/>
      <c r="VR125" s="72"/>
      <c r="VS125" s="72"/>
      <c r="VT125" s="72"/>
      <c r="VU125" s="72"/>
      <c r="VV125" s="72"/>
      <c r="VW125" s="72"/>
      <c r="VX125" s="72"/>
      <c r="VY125" s="72"/>
      <c r="VZ125" s="72"/>
      <c r="WA125" s="72"/>
      <c r="WB125" s="72"/>
      <c r="WC125" s="72"/>
      <c r="WD125" s="72"/>
      <c r="WE125" s="72"/>
      <c r="WF125" s="72"/>
      <c r="WG125" s="72"/>
      <c r="WH125" s="72"/>
      <c r="WI125" s="72"/>
      <c r="WJ125" s="72"/>
      <c r="WK125" s="72"/>
      <c r="WL125" s="72"/>
      <c r="WM125" s="72"/>
      <c r="WN125" s="72"/>
      <c r="WO125" s="72"/>
      <c r="WP125" s="72"/>
      <c r="WQ125" s="72"/>
      <c r="WR125" s="72"/>
      <c r="WS125" s="72"/>
      <c r="WT125" s="72"/>
      <c r="WU125" s="72"/>
      <c r="WV125" s="72"/>
      <c r="WW125" s="72"/>
      <c r="WX125" s="72"/>
      <c r="WY125" s="72"/>
      <c r="WZ125" s="72"/>
      <c r="XA125" s="72"/>
      <c r="XB125" s="72"/>
      <c r="XC125" s="72"/>
      <c r="XD125" s="72"/>
      <c r="XE125" s="72"/>
      <c r="XF125" s="72"/>
      <c r="XG125" s="72"/>
      <c r="XH125" s="72"/>
      <c r="XI125" s="72"/>
      <c r="XJ125" s="72"/>
      <c r="XK125" s="72"/>
      <c r="XL125" s="72"/>
      <c r="XM125" s="72"/>
      <c r="XN125" s="72"/>
      <c r="XO125" s="72"/>
      <c r="XP125" s="72"/>
      <c r="XQ125" s="72"/>
      <c r="XR125" s="72"/>
      <c r="XS125" s="72"/>
      <c r="XT125" s="72"/>
      <c r="XU125" s="72"/>
      <c r="XV125" s="72"/>
      <c r="XW125" s="72"/>
      <c r="XX125" s="72"/>
      <c r="XY125" s="72"/>
      <c r="XZ125" s="72"/>
      <c r="YA125" s="72"/>
      <c r="YB125" s="72"/>
      <c r="YC125" s="72"/>
      <c r="YD125" s="72"/>
      <c r="YE125" s="72"/>
      <c r="YF125" s="72"/>
      <c r="YG125" s="72"/>
      <c r="YH125" s="72"/>
      <c r="YI125" s="72"/>
      <c r="YJ125" s="72"/>
      <c r="YK125" s="72"/>
      <c r="YL125" s="72"/>
      <c r="YM125" s="72"/>
      <c r="YN125" s="72"/>
      <c r="YO125" s="72"/>
      <c r="YP125" s="72"/>
      <c r="YQ125" s="72"/>
      <c r="YR125" s="72"/>
      <c r="YS125" s="72"/>
      <c r="YT125" s="72"/>
      <c r="YU125" s="72"/>
      <c r="YV125" s="72"/>
      <c r="YW125" s="72"/>
      <c r="YX125" s="72"/>
      <c r="YY125" s="72"/>
      <c r="YZ125" s="72"/>
      <c r="ZA125" s="72"/>
      <c r="ZB125" s="72"/>
      <c r="ZC125" s="72"/>
      <c r="ZD125" s="72"/>
      <c r="ZE125" s="72"/>
      <c r="ZF125" s="72"/>
      <c r="ZG125" s="72"/>
      <c r="ZH125" s="72"/>
      <c r="ZI125" s="72"/>
      <c r="ZJ125" s="72"/>
      <c r="ZK125" s="72"/>
      <c r="ZL125" s="72"/>
      <c r="ZM125" s="72"/>
      <c r="ZN125" s="72"/>
      <c r="ZO125" s="72"/>
      <c r="ZP125" s="72"/>
      <c r="ZQ125" s="72"/>
      <c r="ZR125" s="72"/>
      <c r="ZS125" s="72"/>
      <c r="ZT125" s="72"/>
      <c r="ZU125" s="72"/>
      <c r="ZV125" s="72"/>
      <c r="ZW125" s="72"/>
      <c r="ZX125" s="72"/>
      <c r="ZY125" s="72"/>
      <c r="ZZ125" s="72"/>
      <c r="AAA125" s="72"/>
      <c r="AAB125" s="72"/>
      <c r="AAC125" s="72"/>
      <c r="AAD125" s="72"/>
      <c r="AAE125" s="72"/>
      <c r="AAF125" s="72"/>
      <c r="AAG125" s="72"/>
      <c r="AAH125" s="72"/>
      <c r="AAI125" s="72"/>
      <c r="AAJ125" s="72"/>
      <c r="AAK125" s="72"/>
      <c r="AAL125" s="72"/>
      <c r="AAM125" s="72"/>
      <c r="AAN125" s="72"/>
      <c r="AAO125" s="72"/>
      <c r="AAP125" s="72"/>
      <c r="AAQ125" s="72"/>
      <c r="AAR125" s="72"/>
      <c r="AAS125" s="72"/>
      <c r="AAT125" s="72"/>
      <c r="AAU125" s="72"/>
      <c r="AAV125" s="72"/>
      <c r="AAW125" s="72"/>
      <c r="AAX125" s="72"/>
      <c r="AAY125" s="72"/>
      <c r="AAZ125" s="72"/>
      <c r="ABA125" s="72"/>
      <c r="ABB125" s="72"/>
      <c r="ABC125" s="72"/>
      <c r="ABD125" s="72"/>
      <c r="ABE125" s="72"/>
      <c r="ABF125" s="72"/>
      <c r="ABG125" s="72"/>
      <c r="ABH125" s="72"/>
      <c r="ABI125" s="72"/>
      <c r="ABJ125" s="72"/>
      <c r="ABK125" s="72"/>
      <c r="ABL125" s="72"/>
      <c r="ABM125" s="72"/>
      <c r="ABN125" s="72"/>
      <c r="ABO125" s="72"/>
      <c r="ABP125" s="72"/>
      <c r="ABQ125" s="72"/>
      <c r="ABR125" s="72"/>
      <c r="ABS125" s="72"/>
      <c r="ABT125" s="72"/>
      <c r="ABU125" s="72"/>
      <c r="ABV125" s="72"/>
      <c r="ABW125" s="72"/>
      <c r="ABX125" s="72"/>
      <c r="ABY125" s="72"/>
      <c r="ABZ125" s="72"/>
      <c r="ACA125" s="72"/>
      <c r="ACB125" s="72"/>
      <c r="ACC125" s="72"/>
      <c r="ACD125" s="72"/>
      <c r="ACE125" s="72"/>
      <c r="ACF125" s="72"/>
      <c r="ACG125" s="72"/>
      <c r="ACH125" s="72"/>
      <c r="ACI125" s="72"/>
      <c r="ACJ125" s="72"/>
      <c r="ACK125" s="72"/>
      <c r="ACL125" s="72"/>
      <c r="ACM125" s="72"/>
      <c r="ACN125" s="72"/>
      <c r="ACO125" s="72"/>
      <c r="ACP125" s="72"/>
      <c r="ACQ125" s="72"/>
      <c r="ACR125" s="72"/>
      <c r="ACS125" s="72"/>
      <c r="ACT125" s="72"/>
      <c r="ACU125" s="72"/>
      <c r="ACV125" s="72"/>
      <c r="ACW125" s="72"/>
      <c r="ACX125" s="72"/>
      <c r="ACY125" s="72"/>
      <c r="ACZ125" s="72"/>
      <c r="ADA125" s="72"/>
      <c r="ADB125" s="72"/>
      <c r="ADC125" s="72"/>
      <c r="ADD125" s="72"/>
      <c r="ADE125" s="72"/>
      <c r="ADF125" s="72"/>
      <c r="ADG125" s="72"/>
      <c r="ADH125" s="72"/>
      <c r="ADI125" s="72"/>
      <c r="ADJ125" s="72"/>
      <c r="ADK125" s="72"/>
      <c r="ADL125" s="72"/>
      <c r="ADM125" s="72"/>
      <c r="ADN125" s="72"/>
      <c r="ADO125" s="72"/>
      <c r="ADP125" s="72"/>
      <c r="ADQ125" s="72"/>
      <c r="ADR125" s="72"/>
      <c r="ADS125" s="72"/>
      <c r="ADT125" s="72"/>
      <c r="ADU125" s="72"/>
      <c r="ADV125" s="72"/>
      <c r="ADW125" s="72"/>
      <c r="ADX125" s="72"/>
      <c r="ADY125" s="72"/>
      <c r="ADZ125" s="72"/>
      <c r="AEA125" s="72"/>
      <c r="AEB125" s="72"/>
      <c r="AEC125" s="72"/>
      <c r="AED125" s="72"/>
      <c r="AEE125" s="72"/>
      <c r="AEF125" s="72"/>
      <c r="AEG125" s="72"/>
      <c r="AEH125" s="72"/>
      <c r="AEI125" s="72"/>
      <c r="AEJ125" s="72"/>
      <c r="AEK125" s="72"/>
      <c r="AEL125" s="72"/>
      <c r="AEM125" s="72"/>
      <c r="AEN125" s="72"/>
      <c r="AEO125" s="72"/>
      <c r="AEP125" s="72"/>
      <c r="AEQ125" s="72"/>
      <c r="AER125" s="72"/>
      <c r="AES125" s="72"/>
      <c r="AET125" s="72"/>
      <c r="AEU125" s="72"/>
      <c r="AEV125" s="72"/>
      <c r="AEW125" s="72"/>
      <c r="AEX125" s="72"/>
      <c r="AEY125" s="72"/>
      <c r="AEZ125" s="72"/>
      <c r="AFA125" s="72"/>
      <c r="AFB125" s="72"/>
      <c r="AFC125" s="72"/>
      <c r="AFD125" s="72"/>
      <c r="AFE125" s="72"/>
      <c r="AFF125" s="72"/>
      <c r="AFG125" s="72"/>
      <c r="AFH125" s="72"/>
      <c r="AFI125" s="72"/>
      <c r="AFJ125" s="72"/>
      <c r="AFK125" s="72"/>
      <c r="AFL125" s="72"/>
      <c r="AFM125" s="72"/>
      <c r="AFN125" s="72"/>
      <c r="AFO125" s="72"/>
      <c r="AFP125" s="72"/>
      <c r="AFQ125" s="72"/>
      <c r="AFR125" s="72"/>
      <c r="AFS125" s="72"/>
      <c r="AFT125" s="72"/>
      <c r="AFU125" s="72"/>
      <c r="AFV125" s="72"/>
      <c r="AFW125" s="72"/>
      <c r="AFX125" s="72"/>
      <c r="AFY125" s="72"/>
      <c r="AFZ125" s="72"/>
      <c r="AGA125" s="72"/>
      <c r="AGB125" s="72"/>
      <c r="AGC125" s="72"/>
      <c r="AGD125" s="72"/>
      <c r="AGE125" s="72"/>
      <c r="AGF125" s="72"/>
      <c r="AGG125" s="72"/>
      <c r="AGH125" s="72"/>
      <c r="AGI125" s="72"/>
      <c r="AGJ125" s="72"/>
      <c r="AGK125" s="72"/>
      <c r="AGL125" s="72"/>
      <c r="AGM125" s="72"/>
      <c r="AGN125" s="72"/>
      <c r="AGO125" s="72"/>
      <c r="AGP125" s="72"/>
      <c r="AGQ125" s="72"/>
      <c r="AGR125" s="72"/>
      <c r="AGS125" s="72"/>
      <c r="AGT125" s="72"/>
      <c r="AGU125" s="72"/>
      <c r="AGV125" s="72"/>
      <c r="AGW125" s="72"/>
      <c r="AGX125" s="72"/>
      <c r="AGY125" s="72"/>
      <c r="AGZ125" s="72"/>
      <c r="AHA125" s="72"/>
      <c r="AHB125" s="72"/>
      <c r="AHC125" s="72"/>
      <c r="AHD125" s="72"/>
      <c r="AHE125" s="72"/>
      <c r="AHF125" s="72"/>
      <c r="AHG125" s="72"/>
      <c r="AHH125" s="72"/>
      <c r="AHI125" s="72"/>
      <c r="AHJ125" s="72"/>
      <c r="AHK125" s="72"/>
      <c r="AHL125" s="72"/>
      <c r="AHM125" s="72"/>
      <c r="AHN125" s="72"/>
      <c r="AHO125" s="72"/>
      <c r="AHP125" s="72"/>
      <c r="AHQ125" s="72"/>
      <c r="AHR125" s="72"/>
      <c r="AHS125" s="72"/>
      <c r="AHT125" s="72"/>
      <c r="AHU125" s="72"/>
      <c r="AHV125" s="72"/>
      <c r="AHW125" s="72"/>
      <c r="AHX125" s="72"/>
      <c r="AHY125" s="72"/>
      <c r="AHZ125" s="72"/>
      <c r="AIA125" s="72"/>
      <c r="AIB125" s="72"/>
      <c r="AIC125" s="72"/>
      <c r="AID125" s="72"/>
      <c r="AIE125" s="72"/>
      <c r="AIF125" s="72"/>
      <c r="AIG125" s="72"/>
      <c r="AIH125" s="72"/>
      <c r="AII125" s="72"/>
      <c r="AIJ125" s="72"/>
      <c r="AIK125" s="72"/>
      <c r="AIL125" s="72"/>
      <c r="AIM125" s="72"/>
      <c r="AIN125" s="72"/>
      <c r="AIO125" s="72"/>
      <c r="AIP125" s="72"/>
      <c r="AIQ125" s="72"/>
      <c r="AIR125" s="72"/>
      <c r="AIS125" s="72"/>
      <c r="AIT125" s="72"/>
      <c r="AIU125" s="72"/>
      <c r="AIV125" s="72"/>
      <c r="AIW125" s="72"/>
      <c r="AIX125" s="72"/>
      <c r="AIY125" s="72"/>
      <c r="AIZ125" s="72"/>
      <c r="AJA125" s="72"/>
      <c r="AJB125" s="72"/>
      <c r="AJC125" s="72"/>
      <c r="AJD125" s="72"/>
      <c r="AJE125" s="72"/>
      <c r="AJF125" s="72"/>
      <c r="AJG125" s="72"/>
      <c r="AJH125" s="72"/>
      <c r="AJI125" s="72"/>
      <c r="AJJ125" s="72"/>
      <c r="AJK125" s="72"/>
      <c r="AJL125" s="72"/>
      <c r="AJM125" s="72"/>
      <c r="AJN125" s="72"/>
      <c r="AJO125" s="72"/>
      <c r="AJP125" s="72"/>
      <c r="AJQ125" s="72"/>
      <c r="AJR125" s="72"/>
      <c r="AJS125" s="72"/>
      <c r="AJT125" s="72"/>
      <c r="AJU125" s="72"/>
      <c r="AJV125" s="72"/>
      <c r="AJW125" s="72"/>
      <c r="AJX125" s="72"/>
      <c r="AJY125" s="72"/>
      <c r="AJZ125" s="72"/>
      <c r="AKA125" s="72"/>
      <c r="AKB125" s="72"/>
      <c r="AKC125" s="72"/>
      <c r="AKD125" s="72"/>
      <c r="AKE125" s="72"/>
      <c r="AKF125" s="72"/>
      <c r="AKG125" s="72"/>
      <c r="AKH125" s="72"/>
      <c r="AKI125" s="72"/>
      <c r="AKJ125" s="72"/>
      <c r="AKK125" s="72"/>
      <c r="AKL125" s="72"/>
      <c r="AKM125" s="72"/>
      <c r="AKN125" s="72"/>
      <c r="AKO125" s="72"/>
      <c r="AKP125" s="72"/>
      <c r="AKQ125" s="72"/>
      <c r="AKR125" s="72"/>
      <c r="AKS125" s="72"/>
      <c r="AKT125" s="72"/>
      <c r="AKU125" s="72"/>
      <c r="AKV125" s="72"/>
      <c r="AKW125" s="72"/>
      <c r="AKX125" s="72"/>
      <c r="AKY125" s="72"/>
      <c r="AKZ125" s="72"/>
      <c r="ALA125" s="72"/>
      <c r="ALB125" s="72"/>
      <c r="ALC125" s="72"/>
      <c r="ALD125" s="72"/>
      <c r="ALE125" s="72"/>
      <c r="ALF125" s="72"/>
      <c r="ALG125" s="72"/>
      <c r="ALH125" s="72"/>
      <c r="ALI125" s="72"/>
      <c r="ALJ125" s="72"/>
      <c r="ALK125" s="72"/>
      <c r="ALL125" s="72"/>
      <c r="ALM125" s="72"/>
      <c r="ALN125" s="72"/>
      <c r="ALO125" s="72"/>
      <c r="ALP125" s="72"/>
      <c r="ALQ125" s="72"/>
      <c r="ALR125" s="72"/>
      <c r="ALS125" s="72"/>
      <c r="ALT125" s="72"/>
      <c r="ALU125" s="72"/>
      <c r="ALV125" s="72"/>
      <c r="ALW125" s="72"/>
      <c r="ALX125" s="72"/>
      <c r="ALY125" s="72"/>
      <c r="ALZ125" s="72"/>
      <c r="AMA125" s="72"/>
      <c r="AMB125" s="72"/>
      <c r="AMC125" s="72"/>
      <c r="AMD125" s="72"/>
      <c r="AME125" s="72"/>
      <c r="AMF125" s="72"/>
      <c r="AMG125" s="72"/>
      <c r="AMH125" s="72"/>
      <c r="AMI125" s="72"/>
      <c r="AMJ125" s="72"/>
      <c r="AMK125" s="72"/>
      <c r="AML125" s="72"/>
      <c r="AMM125" s="72"/>
      <c r="AMN125" s="72"/>
      <c r="AMO125" s="72"/>
      <c r="AMP125" s="72"/>
      <c r="AMQ125" s="72"/>
      <c r="AMR125" s="72"/>
      <c r="AMS125" s="72"/>
      <c r="AMT125" s="72"/>
      <c r="AMU125" s="72"/>
      <c r="AMV125" s="72"/>
      <c r="AMW125" s="72"/>
      <c r="AMX125" s="72"/>
    </row>
    <row r="126" spans="1:1038" s="5" customFormat="1" ht="27.45" customHeight="1" x14ac:dyDescent="0.5">
      <c r="A126" s="17">
        <v>89</v>
      </c>
      <c r="B126" s="53" t="s">
        <v>322</v>
      </c>
      <c r="C126" s="19" t="s">
        <v>289</v>
      </c>
      <c r="D126" s="54" t="s">
        <v>156</v>
      </c>
      <c r="E126" s="54"/>
      <c r="F126" s="54" t="s">
        <v>277</v>
      </c>
      <c r="G126" s="69"/>
      <c r="H126" s="64">
        <v>46203</v>
      </c>
      <c r="I126" s="20"/>
      <c r="J126" s="22">
        <v>44.6982</v>
      </c>
      <c r="K126" s="149">
        <v>10.617800000000001</v>
      </c>
      <c r="L126" s="22"/>
      <c r="M126" s="22"/>
      <c r="N126" s="165"/>
      <c r="O126" s="56">
        <v>0</v>
      </c>
      <c r="P126" s="55">
        <v>210000</v>
      </c>
      <c r="Q126" s="56"/>
      <c r="R126" s="55"/>
      <c r="S126" s="56"/>
      <c r="T126" s="57"/>
      <c r="U126" s="57"/>
    </row>
    <row r="127" spans="1:1038" s="5" customFormat="1" ht="27.45" customHeight="1" x14ac:dyDescent="0.5">
      <c r="A127" s="82">
        <v>90</v>
      </c>
      <c r="B127" s="83" t="s">
        <v>322</v>
      </c>
      <c r="C127" s="84" t="s">
        <v>290</v>
      </c>
      <c r="D127" s="85" t="s">
        <v>159</v>
      </c>
      <c r="E127" s="85"/>
      <c r="F127" s="85" t="s">
        <v>277</v>
      </c>
      <c r="G127" s="86"/>
      <c r="H127" s="87">
        <v>46203</v>
      </c>
      <c r="I127" s="88"/>
      <c r="J127" s="89">
        <v>44.709000000000003</v>
      </c>
      <c r="K127" s="152">
        <v>10.608700000000001</v>
      </c>
      <c r="L127" s="22"/>
      <c r="M127" s="22"/>
      <c r="N127" s="166"/>
      <c r="O127" s="91">
        <v>0</v>
      </c>
      <c r="P127" s="90">
        <v>180000</v>
      </c>
      <c r="Q127" s="91"/>
      <c r="R127" s="90"/>
      <c r="S127" s="91"/>
      <c r="T127" s="92"/>
      <c r="U127" s="92"/>
    </row>
    <row r="128" spans="1:1038" s="75" customFormat="1" ht="27.45" customHeight="1" thickBot="1" x14ac:dyDescent="0.55000000000000004">
      <c r="A128" s="125"/>
      <c r="B128" s="184" t="s">
        <v>62</v>
      </c>
      <c r="C128" s="184"/>
      <c r="D128" s="184"/>
      <c r="E128" s="184"/>
      <c r="F128" s="184"/>
      <c r="G128" s="126"/>
      <c r="H128" s="127"/>
      <c r="I128" s="128"/>
      <c r="J128" s="129"/>
      <c r="K128" s="159"/>
      <c r="L128" s="79"/>
      <c r="M128" s="79"/>
      <c r="N128" s="170">
        <f>SUM(N126:N127)</f>
        <v>0</v>
      </c>
      <c r="O128" s="171">
        <f>SUM(O126:O127)</f>
        <v>0</v>
      </c>
      <c r="P128" s="171">
        <f>SUM(P126:P127)</f>
        <v>390000</v>
      </c>
      <c r="Q128" s="171">
        <f>SUM(Q126:Q127)</f>
        <v>0</v>
      </c>
      <c r="R128" s="130"/>
      <c r="S128" s="130"/>
      <c r="T128" s="131">
        <f>SUM(T126:T127)</f>
        <v>0</v>
      </c>
      <c r="U128" s="131">
        <f>SUM(U126:U127)</f>
        <v>0</v>
      </c>
    </row>
    <row r="129" spans="1:21" s="75" customFormat="1" ht="27.45" customHeight="1" thickBot="1" x14ac:dyDescent="0.65">
      <c r="A129" s="132"/>
      <c r="B129" s="183" t="s">
        <v>332</v>
      </c>
      <c r="C129" s="183"/>
      <c r="D129" s="183"/>
      <c r="E129" s="183"/>
      <c r="F129" s="183"/>
      <c r="G129" s="133"/>
      <c r="H129" s="134"/>
      <c r="I129" s="135"/>
      <c r="J129" s="136"/>
      <c r="K129" s="160"/>
      <c r="L129" s="160"/>
      <c r="M129" s="160"/>
      <c r="N129" s="168">
        <f>N17+N23+N38+N42+N47+N54+N58+N61+N65+N76+N84+N105+N108+N111+N118+N123+N128</f>
        <v>106493249.48000002</v>
      </c>
      <c r="O129" s="137">
        <f>N129-P129-Q129</f>
        <v>25172018.460000016</v>
      </c>
      <c r="P129" s="137">
        <f>P17+P23+P38+P42+P47+P54+P58+P61+P65+P76+P84+P105+P108+P111+P118+P123+P128</f>
        <v>78027058.810000002</v>
      </c>
      <c r="Q129" s="137">
        <f>Q17+Q23+Q38+Q42+Q47+Q54+Q58+Q61+Q65+Q76+Q84+Q105+Q108+Q111+Q118+Q123+Q128</f>
        <v>3294172.21</v>
      </c>
      <c r="R129" s="137"/>
      <c r="S129" s="137"/>
      <c r="T129" s="138">
        <f>T17+T23+T38+T42+T47+T54+T58+T61+T65+T76+T84+T105+T108+T111+T118+T123+T128</f>
        <v>63436649.089999989</v>
      </c>
      <c r="U129" s="138">
        <f>U17+U23+U38+U42+U47+U54+U58+U61+U65+U76+U84+U105+U108+U111+U118+U123+U128</f>
        <v>55598825.279999994</v>
      </c>
    </row>
    <row r="130" spans="1:21" ht="14.7" customHeight="1" x14ac:dyDescent="0.5">
      <c r="A130" s="93"/>
      <c r="B130" s="94"/>
      <c r="C130" s="94"/>
      <c r="D130" s="94"/>
      <c r="E130" s="94"/>
      <c r="F130" s="94"/>
      <c r="G130" s="94"/>
      <c r="H130" s="94"/>
      <c r="I130" s="94"/>
      <c r="J130" s="94"/>
      <c r="K130" s="161"/>
      <c r="L130" s="39"/>
      <c r="M130" s="39"/>
      <c r="N130" s="169"/>
      <c r="O130" s="95"/>
      <c r="P130" s="95"/>
      <c r="Q130" s="95"/>
      <c r="R130" s="95"/>
      <c r="S130" s="95"/>
      <c r="T130" s="95"/>
      <c r="U130" s="95"/>
    </row>
    <row r="131" spans="1:21" ht="14.7" customHeight="1" x14ac:dyDescent="0.5">
      <c r="A131" s="16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94"/>
      <c r="M131" s="94"/>
      <c r="N131" s="38"/>
      <c r="O131" s="38"/>
      <c r="P131" s="38"/>
      <c r="Q131" s="38"/>
      <c r="R131" s="38"/>
      <c r="S131" s="38"/>
      <c r="T131" s="38"/>
      <c r="U131" s="38"/>
    </row>
    <row r="132" spans="1:21" ht="14.7" customHeight="1" x14ac:dyDescent="0.5">
      <c r="A132" s="16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38"/>
      <c r="O132" s="38"/>
      <c r="P132" s="38"/>
      <c r="Q132" s="38"/>
      <c r="R132" s="38"/>
      <c r="S132" s="38"/>
      <c r="T132" s="38"/>
      <c r="U132" s="38"/>
    </row>
    <row r="133" spans="1:21" ht="14.7" customHeight="1" x14ac:dyDescent="0.5">
      <c r="A133" s="16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38"/>
      <c r="O133" s="38"/>
      <c r="P133" s="38"/>
      <c r="Q133" s="38"/>
      <c r="R133" s="38"/>
      <c r="S133" s="38"/>
      <c r="T133" s="38"/>
      <c r="U133" s="38"/>
    </row>
    <row r="134" spans="1:21" ht="14.7" customHeight="1" x14ac:dyDescent="0.25">
      <c r="A134" s="13"/>
      <c r="B134" s="9"/>
      <c r="C134" s="8"/>
      <c r="E134" s="9"/>
      <c r="F134" s="9"/>
      <c r="G134" s="9"/>
      <c r="H134" s="9"/>
      <c r="I134" s="11"/>
      <c r="J134" s="9"/>
      <c r="K134" s="9"/>
      <c r="L134" s="9"/>
      <c r="M134" s="9"/>
      <c r="N134" s="58"/>
      <c r="O134" s="11"/>
      <c r="P134" s="11"/>
      <c r="Q134" s="10"/>
      <c r="R134" s="10"/>
      <c r="S134" s="59"/>
      <c r="T134" s="10"/>
      <c r="U134" s="12"/>
    </row>
    <row r="254" spans="5:5" ht="14.7" customHeight="1" x14ac:dyDescent="0.25">
      <c r="E254" t="s">
        <v>82</v>
      </c>
    </row>
    <row r="65512" ht="12.75" customHeight="1" x14ac:dyDescent="0.25"/>
    <row r="65513" ht="12.75" customHeight="1" x14ac:dyDescent="0.25"/>
    <row r="65514" ht="12.75" customHeight="1" x14ac:dyDescent="0.25"/>
    <row r="65515" ht="12.75" customHeight="1" x14ac:dyDescent="0.25"/>
    <row r="65516" ht="12.75" customHeight="1" x14ac:dyDescent="0.25"/>
    <row r="65517" ht="12.75" customHeight="1" x14ac:dyDescent="0.25"/>
    <row r="65518" ht="12.75" customHeight="1" x14ac:dyDescent="0.25"/>
    <row r="65519" ht="12.75" customHeight="1" x14ac:dyDescent="0.25"/>
    <row r="65520" ht="12.75" customHeight="1" x14ac:dyDescent="0.25"/>
    <row r="65521" ht="12.75" customHeight="1" x14ac:dyDescent="0.25"/>
    <row r="65522" ht="12.75" customHeight="1" x14ac:dyDescent="0.25"/>
    <row r="65523" ht="12.75" customHeight="1" x14ac:dyDescent="0.25"/>
    <row r="65524" ht="12.75" customHeight="1" x14ac:dyDescent="0.25"/>
    <row r="65525" ht="12.75" customHeight="1" x14ac:dyDescent="0.25"/>
    <row r="65526" ht="12.75" customHeight="1" x14ac:dyDescent="0.25"/>
  </sheetData>
  <sheetProtection selectLockedCells="1" selectUnlockedCells="1"/>
  <autoFilter ref="B1:U65526" xr:uid="{AA620E70-6C77-491E-BDAE-FB4CEB60C50E}"/>
  <mergeCells count="26">
    <mergeCell ref="B48:U48"/>
    <mergeCell ref="B55:U55"/>
    <mergeCell ref="B59:U59"/>
    <mergeCell ref="B62:U62"/>
    <mergeCell ref="B66:U66"/>
    <mergeCell ref="B2:U2"/>
    <mergeCell ref="B18:U18"/>
    <mergeCell ref="B24:U24"/>
    <mergeCell ref="B39:U39"/>
    <mergeCell ref="B43:U43"/>
    <mergeCell ref="B105:F105"/>
    <mergeCell ref="B61:F61"/>
    <mergeCell ref="B58:F58"/>
    <mergeCell ref="B129:F129"/>
    <mergeCell ref="B128:F128"/>
    <mergeCell ref="B123:F123"/>
    <mergeCell ref="B118:F118"/>
    <mergeCell ref="B111:F111"/>
    <mergeCell ref="B108:F108"/>
    <mergeCell ref="B113:U113"/>
    <mergeCell ref="B120:U120"/>
    <mergeCell ref="B125:U125"/>
    <mergeCell ref="B106:U106"/>
    <mergeCell ref="B109:U109"/>
    <mergeCell ref="B85:U85"/>
    <mergeCell ref="B77:U77"/>
  </mergeCells>
  <phoneticPr fontId="5" type="noConversion"/>
  <dataValidations count="1">
    <dataValidation type="list" allowBlank="1" showInputMessage="1" showErrorMessage="1" sqref="B3:B16 B19:B22 B25:B37 B40:B41 B44:B46 B49:B53 B56:B57 B60 B63:B64 B67:B75 B78:B83 B86:B104 B107 B110 B114:B117 B121:B122 B126:B127" xr:uid="{0D2206D4-0081-4FD4-8BBC-D2C90C2853C6}">
      <formula1>"Ciclovie,Verde Pubblico,Rigenerazione Urbana,Lavori Pubblici,Edilizia Scolastica,Impianti Sportivi,Mobilità/Infrastrutture,Servizi Digitali,Servizi Sociali"</formula1>
    </dataValidation>
  </dataValidations>
  <pageMargins left="0.78749999999999998" right="0.78749999999999998" top="1.0527777777777778" bottom="1.0527777777777778" header="0.78749999999999998" footer="0.78749999999999998"/>
  <pageSetup paperSize="8" scale="45" orientation="landscape" useFirstPageNumber="1" horizontalDpi="300" verticalDpi="300" r:id="rId1"/>
  <headerFooter alignWithMargins="0">
    <oddHeader>&amp;C&amp;"Times New Roman,Normale"&amp;12&amp;A</oddHeader>
    <oddFooter>&amp;C&amp;"Times New Roman,Normale"&amp;12Pagina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6DE0-930E-409A-8E10-88CC6EC3B61E}">
  <dimension ref="A1:L86"/>
  <sheetViews>
    <sheetView showGridLines="0" workbookViewId="0">
      <pane ySplit="1" topLeftCell="A2" activePane="bottomLeft" state="frozen"/>
      <selection pane="bottomLeft"/>
    </sheetView>
  </sheetViews>
  <sheetFormatPr defaultRowHeight="13.2" x14ac:dyDescent="0.25"/>
  <cols>
    <col min="1" max="1" width="8" customWidth="1"/>
    <col min="2" max="2" width="20" customWidth="1"/>
    <col min="3" max="3" width="62" customWidth="1"/>
    <col min="4" max="4" width="52" customWidth="1"/>
    <col min="5" max="6" width="14" customWidth="1"/>
    <col min="7" max="7" width="24" customWidth="1"/>
    <col min="8" max="8" width="16" customWidth="1"/>
    <col min="9" max="9" width="52" customWidth="1"/>
    <col min="10" max="10" width="55" customWidth="1"/>
    <col min="11" max="11" width="62" customWidth="1"/>
    <col min="12" max="12" width="22" customWidth="1"/>
  </cols>
  <sheetData>
    <row r="1" spans="1:12" ht="32.1" customHeight="1" x14ac:dyDescent="0.25">
      <c r="A1" s="140" t="s">
        <v>340</v>
      </c>
      <c r="B1" s="140" t="s">
        <v>1</v>
      </c>
      <c r="C1" s="140" t="s">
        <v>341</v>
      </c>
      <c r="D1" s="140" t="s">
        <v>342</v>
      </c>
      <c r="E1" s="140" t="s">
        <v>343</v>
      </c>
      <c r="F1" s="140" t="s">
        <v>344</v>
      </c>
      <c r="G1" s="140" t="s">
        <v>345</v>
      </c>
      <c r="H1" s="140" t="s">
        <v>346</v>
      </c>
      <c r="I1" s="140" t="s">
        <v>347</v>
      </c>
      <c r="J1" s="140" t="s">
        <v>348</v>
      </c>
      <c r="K1" s="140" t="s">
        <v>349</v>
      </c>
      <c r="L1" s="140" t="s">
        <v>350</v>
      </c>
    </row>
    <row r="2" spans="1:12" ht="52.8" x14ac:dyDescent="0.3">
      <c r="A2" s="141">
        <v>7</v>
      </c>
      <c r="B2" s="141" t="s">
        <v>28</v>
      </c>
      <c r="C2" s="141" t="s">
        <v>27</v>
      </c>
      <c r="D2" s="141" t="s">
        <v>30</v>
      </c>
      <c r="E2" s="142">
        <v>44.698399999999999</v>
      </c>
      <c r="F2" s="142">
        <v>10.6098</v>
      </c>
      <c r="G2" s="141" t="s">
        <v>351</v>
      </c>
      <c r="H2" s="141" t="s">
        <v>352</v>
      </c>
      <c r="I2" s="141" t="s">
        <v>353</v>
      </c>
      <c r="J2" s="143" t="s">
        <v>354</v>
      </c>
      <c r="K2" s="141" t="s">
        <v>355</v>
      </c>
      <c r="L2" s="141" t="s">
        <v>356</v>
      </c>
    </row>
    <row r="3" spans="1:12" ht="26.4" x14ac:dyDescent="0.3">
      <c r="A3" s="141">
        <v>10</v>
      </c>
      <c r="B3" s="141" t="s">
        <v>40</v>
      </c>
      <c r="C3" s="141" t="s">
        <v>39</v>
      </c>
      <c r="D3" s="141" t="s">
        <v>42</v>
      </c>
      <c r="E3" s="142">
        <v>44.692202999999999</v>
      </c>
      <c r="F3" s="142">
        <v>10.642396</v>
      </c>
      <c r="G3" s="141" t="s">
        <v>357</v>
      </c>
      <c r="H3" s="141" t="s">
        <v>352</v>
      </c>
      <c r="I3" s="141" t="s">
        <v>358</v>
      </c>
      <c r="J3" s="143" t="s">
        <v>359</v>
      </c>
      <c r="K3" s="141" t="s">
        <v>360</v>
      </c>
      <c r="L3" s="141" t="s">
        <v>356</v>
      </c>
    </row>
    <row r="4" spans="1:12" ht="39.6" x14ac:dyDescent="0.3">
      <c r="A4" s="141">
        <v>11</v>
      </c>
      <c r="B4" s="141" t="s">
        <v>44</v>
      </c>
      <c r="C4" s="141" t="s">
        <v>43</v>
      </c>
      <c r="D4" s="141" t="s">
        <v>46</v>
      </c>
      <c r="E4" s="142">
        <v>44.695050000000002</v>
      </c>
      <c r="F4" s="142">
        <v>10.61947</v>
      </c>
      <c r="G4" s="141" t="s">
        <v>357</v>
      </c>
      <c r="H4" s="141" t="s">
        <v>352</v>
      </c>
      <c r="I4" s="141" t="s">
        <v>361</v>
      </c>
      <c r="J4" s="143" t="s">
        <v>362</v>
      </c>
      <c r="K4" s="141" t="s">
        <v>363</v>
      </c>
      <c r="L4" s="141" t="s">
        <v>356</v>
      </c>
    </row>
    <row r="5" spans="1:12" ht="92.4" x14ac:dyDescent="0.3">
      <c r="A5" s="141">
        <v>12</v>
      </c>
      <c r="B5" s="141" t="s">
        <v>48</v>
      </c>
      <c r="C5" s="141" t="s">
        <v>47</v>
      </c>
      <c r="D5" s="141" t="s">
        <v>49</v>
      </c>
      <c r="E5" s="142">
        <v>44.735999999999997</v>
      </c>
      <c r="F5" s="142">
        <v>10.5261</v>
      </c>
      <c r="G5" s="141" t="s">
        <v>364</v>
      </c>
      <c r="H5" s="141" t="s">
        <v>365</v>
      </c>
      <c r="I5" s="141" t="s">
        <v>366</v>
      </c>
      <c r="J5" s="143" t="s">
        <v>367</v>
      </c>
      <c r="K5" s="141" t="s">
        <v>368</v>
      </c>
      <c r="L5" s="141" t="s">
        <v>356</v>
      </c>
    </row>
    <row r="6" spans="1:12" ht="26.4" x14ac:dyDescent="0.3">
      <c r="A6" s="141">
        <v>13</v>
      </c>
      <c r="B6" s="141" t="s">
        <v>51</v>
      </c>
      <c r="C6" s="141" t="s">
        <v>50</v>
      </c>
      <c r="D6" s="141" t="s">
        <v>52</v>
      </c>
      <c r="E6" s="142">
        <v>44.714300000000001</v>
      </c>
      <c r="F6" s="142">
        <v>10.6105</v>
      </c>
      <c r="G6" s="141" t="s">
        <v>369</v>
      </c>
      <c r="H6" s="141" t="s">
        <v>370</v>
      </c>
      <c r="I6" s="141" t="s">
        <v>371</v>
      </c>
      <c r="J6" s="143" t="s">
        <v>372</v>
      </c>
      <c r="K6" s="141" t="s">
        <v>373</v>
      </c>
      <c r="L6" s="141" t="s">
        <v>356</v>
      </c>
    </row>
    <row r="7" spans="1:12" ht="52.8" x14ac:dyDescent="0.3">
      <c r="A7" s="141">
        <v>14</v>
      </c>
      <c r="B7" s="141" t="s">
        <v>54</v>
      </c>
      <c r="C7" s="141" t="s">
        <v>53</v>
      </c>
      <c r="D7" s="141" t="s">
        <v>55</v>
      </c>
      <c r="E7" s="142">
        <v>44.699109999999997</v>
      </c>
      <c r="F7" s="142">
        <v>10.63659</v>
      </c>
      <c r="G7" s="141" t="s">
        <v>364</v>
      </c>
      <c r="H7" s="141" t="s">
        <v>365</v>
      </c>
      <c r="I7" s="141" t="s">
        <v>374</v>
      </c>
      <c r="J7" s="143" t="s">
        <v>375</v>
      </c>
      <c r="K7" s="141" t="s">
        <v>376</v>
      </c>
      <c r="L7" s="141" t="s">
        <v>356</v>
      </c>
    </row>
    <row r="8" spans="1:12" ht="39.6" x14ac:dyDescent="0.3">
      <c r="A8" s="141">
        <v>15</v>
      </c>
      <c r="B8" s="141" t="s">
        <v>57</v>
      </c>
      <c r="C8" s="141" t="s">
        <v>56</v>
      </c>
      <c r="D8" s="141"/>
      <c r="E8" s="142">
        <v>44.701410000000003</v>
      </c>
      <c r="F8" s="142">
        <v>10.628550000000001</v>
      </c>
      <c r="G8" s="141" t="s">
        <v>377</v>
      </c>
      <c r="H8" s="141" t="s">
        <v>352</v>
      </c>
      <c r="I8" s="141" t="s">
        <v>378</v>
      </c>
      <c r="J8" s="143" t="s">
        <v>379</v>
      </c>
      <c r="K8" s="141" t="s">
        <v>380</v>
      </c>
      <c r="L8" s="141" t="s">
        <v>356</v>
      </c>
    </row>
    <row r="9" spans="1:12" ht="15.6" x14ac:dyDescent="0.3">
      <c r="A9" s="141">
        <v>16</v>
      </c>
      <c r="B9" s="141" t="s">
        <v>60</v>
      </c>
      <c r="C9" s="141" t="s">
        <v>59</v>
      </c>
      <c r="D9" s="141" t="s">
        <v>61</v>
      </c>
      <c r="E9" s="142">
        <v>44.681100000000001</v>
      </c>
      <c r="F9" s="142">
        <v>10.6052</v>
      </c>
      <c r="G9" s="141" t="s">
        <v>369</v>
      </c>
      <c r="H9" s="141" t="s">
        <v>370</v>
      </c>
      <c r="I9" s="141" t="s">
        <v>381</v>
      </c>
      <c r="J9" s="143" t="s">
        <v>382</v>
      </c>
      <c r="K9" s="141" t="s">
        <v>383</v>
      </c>
      <c r="L9" s="141" t="s">
        <v>356</v>
      </c>
    </row>
    <row r="10" spans="1:12" ht="39.6" x14ac:dyDescent="0.3">
      <c r="A10" s="141">
        <v>19</v>
      </c>
      <c r="B10" s="141" t="s">
        <v>65</v>
      </c>
      <c r="C10" s="141" t="s">
        <v>64</v>
      </c>
      <c r="D10" s="141" t="s">
        <v>67</v>
      </c>
      <c r="E10" s="142">
        <v>44.686399999999999</v>
      </c>
      <c r="F10" s="142">
        <v>10.6144</v>
      </c>
      <c r="G10" s="141" t="s">
        <v>369</v>
      </c>
      <c r="H10" s="141" t="s">
        <v>370</v>
      </c>
      <c r="I10" s="141" t="s">
        <v>384</v>
      </c>
      <c r="J10" s="143" t="s">
        <v>382</v>
      </c>
      <c r="K10" s="141" t="s">
        <v>385</v>
      </c>
      <c r="L10" s="141" t="s">
        <v>356</v>
      </c>
    </row>
    <row r="11" spans="1:12" ht="66" x14ac:dyDescent="0.3">
      <c r="A11" s="141">
        <v>20</v>
      </c>
      <c r="B11" s="141" t="s">
        <v>70</v>
      </c>
      <c r="C11" s="141" t="s">
        <v>69</v>
      </c>
      <c r="D11" s="141" t="s">
        <v>72</v>
      </c>
      <c r="E11" s="142">
        <v>44.688800000000001</v>
      </c>
      <c r="F11" s="142">
        <v>10.651199999999999</v>
      </c>
      <c r="G11" s="141" t="s">
        <v>351</v>
      </c>
      <c r="H11" s="141" t="s">
        <v>370</v>
      </c>
      <c r="I11" s="141" t="s">
        <v>386</v>
      </c>
      <c r="J11" s="143" t="s">
        <v>387</v>
      </c>
      <c r="K11" s="141" t="s">
        <v>388</v>
      </c>
      <c r="L11" s="141" t="s">
        <v>356</v>
      </c>
    </row>
    <row r="12" spans="1:12" ht="39.6" x14ac:dyDescent="0.3">
      <c r="A12" s="141">
        <v>21</v>
      </c>
      <c r="B12" s="141" t="s">
        <v>75</v>
      </c>
      <c r="C12" s="141" t="s">
        <v>74</v>
      </c>
      <c r="D12" s="141" t="s">
        <v>76</v>
      </c>
      <c r="E12" s="142">
        <v>44.704799999999999</v>
      </c>
      <c r="F12" s="142">
        <v>10.637499999999999</v>
      </c>
      <c r="G12" s="141" t="s">
        <v>389</v>
      </c>
      <c r="H12" s="141" t="s">
        <v>370</v>
      </c>
      <c r="I12" s="141" t="s">
        <v>390</v>
      </c>
      <c r="J12" s="143" t="s">
        <v>391</v>
      </c>
      <c r="K12" s="141" t="s">
        <v>392</v>
      </c>
      <c r="L12" s="141" t="s">
        <v>356</v>
      </c>
    </row>
    <row r="13" spans="1:12" ht="105.6" x14ac:dyDescent="0.3">
      <c r="A13" s="141">
        <v>22</v>
      </c>
      <c r="B13" s="141" t="s">
        <v>79</v>
      </c>
      <c r="C13" s="141" t="s">
        <v>78</v>
      </c>
      <c r="D13" s="141" t="s">
        <v>80</v>
      </c>
      <c r="E13" s="142">
        <v>44.69</v>
      </c>
      <c r="F13" s="142">
        <v>10.665100000000001</v>
      </c>
      <c r="G13" s="141" t="s">
        <v>389</v>
      </c>
      <c r="H13" s="141" t="s">
        <v>370</v>
      </c>
      <c r="I13" s="141" t="s">
        <v>393</v>
      </c>
      <c r="J13" s="143" t="s">
        <v>394</v>
      </c>
      <c r="K13" s="141" t="s">
        <v>395</v>
      </c>
      <c r="L13" s="141" t="s">
        <v>356</v>
      </c>
    </row>
    <row r="14" spans="1:12" ht="26.4" x14ac:dyDescent="0.3">
      <c r="A14" s="141">
        <v>27</v>
      </c>
      <c r="B14" s="141" t="s">
        <v>92</v>
      </c>
      <c r="C14" s="141" t="s">
        <v>91</v>
      </c>
      <c r="D14" s="141" t="s">
        <v>93</v>
      </c>
      <c r="E14" s="142">
        <v>44.640900000000002</v>
      </c>
      <c r="F14" s="142">
        <v>10.7371</v>
      </c>
      <c r="G14" s="141" t="s">
        <v>369</v>
      </c>
      <c r="H14" s="141" t="s">
        <v>370</v>
      </c>
      <c r="I14" s="141" t="s">
        <v>396</v>
      </c>
      <c r="J14" s="143" t="s">
        <v>382</v>
      </c>
      <c r="K14" s="141" t="s">
        <v>397</v>
      </c>
      <c r="L14" s="141" t="s">
        <v>356</v>
      </c>
    </row>
    <row r="15" spans="1:12" ht="15.6" x14ac:dyDescent="0.3">
      <c r="A15" s="141">
        <v>31</v>
      </c>
      <c r="B15" s="141" t="s">
        <v>105</v>
      </c>
      <c r="C15" s="141" t="s">
        <v>104</v>
      </c>
      <c r="D15" s="141" t="s">
        <v>106</v>
      </c>
      <c r="E15" s="142">
        <v>44.68618</v>
      </c>
      <c r="F15" s="142">
        <v>10.65208</v>
      </c>
      <c r="G15" s="141" t="s">
        <v>357</v>
      </c>
      <c r="H15" s="141" t="s">
        <v>352</v>
      </c>
      <c r="I15" s="141" t="s">
        <v>398</v>
      </c>
      <c r="J15" s="143" t="s">
        <v>399</v>
      </c>
      <c r="K15" s="141" t="s">
        <v>400</v>
      </c>
      <c r="L15" s="141" t="s">
        <v>356</v>
      </c>
    </row>
    <row r="16" spans="1:12" ht="26.4" x14ac:dyDescent="0.3">
      <c r="A16" s="141">
        <v>33</v>
      </c>
      <c r="B16" s="141" t="s">
        <v>111</v>
      </c>
      <c r="C16" s="141" t="s">
        <v>110</v>
      </c>
      <c r="D16" s="141" t="s">
        <v>112</v>
      </c>
      <c r="E16" s="142">
        <v>44.685400000000001</v>
      </c>
      <c r="F16" s="142">
        <v>10.6195</v>
      </c>
      <c r="G16" s="141" t="s">
        <v>401</v>
      </c>
      <c r="H16" s="141" t="s">
        <v>370</v>
      </c>
      <c r="I16" s="141" t="s">
        <v>402</v>
      </c>
      <c r="J16" s="143" t="s">
        <v>403</v>
      </c>
      <c r="K16" s="141" t="s">
        <v>404</v>
      </c>
      <c r="L16" s="141" t="s">
        <v>356</v>
      </c>
    </row>
    <row r="17" spans="1:12" ht="15.6" x14ac:dyDescent="0.3">
      <c r="A17" s="141">
        <v>34</v>
      </c>
      <c r="B17" s="141" t="s">
        <v>114</v>
      </c>
      <c r="C17" s="141" t="s">
        <v>113</v>
      </c>
      <c r="D17" s="141" t="s">
        <v>115</v>
      </c>
      <c r="E17" s="142">
        <v>44.672800000000002</v>
      </c>
      <c r="F17" s="142">
        <v>10.614800000000001</v>
      </c>
      <c r="G17" s="141" t="s">
        <v>401</v>
      </c>
      <c r="H17" s="141" t="s">
        <v>370</v>
      </c>
      <c r="I17" s="141" t="s">
        <v>405</v>
      </c>
      <c r="J17" s="143" t="s">
        <v>399</v>
      </c>
      <c r="K17" s="141" t="s">
        <v>406</v>
      </c>
      <c r="L17" s="141" t="s">
        <v>356</v>
      </c>
    </row>
    <row r="18" spans="1:12" ht="26.4" x14ac:dyDescent="0.3">
      <c r="A18" s="141">
        <v>35</v>
      </c>
      <c r="B18" s="141" t="s">
        <v>117</v>
      </c>
      <c r="C18" s="141" t="s">
        <v>116</v>
      </c>
      <c r="D18" s="141" t="s">
        <v>118</v>
      </c>
      <c r="E18" s="142">
        <v>44.692799999999998</v>
      </c>
      <c r="F18" s="142">
        <v>10.607799999999999</v>
      </c>
      <c r="G18" s="141" t="s">
        <v>369</v>
      </c>
      <c r="H18" s="141" t="s">
        <v>370</v>
      </c>
      <c r="I18" s="141" t="s">
        <v>407</v>
      </c>
      <c r="J18" s="143" t="s">
        <v>408</v>
      </c>
      <c r="K18" s="141" t="s">
        <v>409</v>
      </c>
      <c r="L18" s="141" t="s">
        <v>356</v>
      </c>
    </row>
    <row r="19" spans="1:12" ht="26.4" x14ac:dyDescent="0.3">
      <c r="A19" s="141">
        <v>36</v>
      </c>
      <c r="B19" s="141" t="s">
        <v>120</v>
      </c>
      <c r="C19" s="141" t="s">
        <v>119</v>
      </c>
      <c r="D19" s="141" t="s">
        <v>121</v>
      </c>
      <c r="E19" s="142">
        <v>44.706521000000002</v>
      </c>
      <c r="F19" s="142">
        <v>10.595694999999999</v>
      </c>
      <c r="G19" s="141" t="s">
        <v>357</v>
      </c>
      <c r="H19" s="141" t="s">
        <v>352</v>
      </c>
      <c r="I19" s="141" t="s">
        <v>410</v>
      </c>
      <c r="J19" s="143" t="s">
        <v>411</v>
      </c>
      <c r="K19" s="141" t="s">
        <v>412</v>
      </c>
      <c r="L19" s="141" t="s">
        <v>356</v>
      </c>
    </row>
    <row r="20" spans="1:12" ht="15.6" x14ac:dyDescent="0.3">
      <c r="A20" s="141">
        <v>37</v>
      </c>
      <c r="B20" s="141" t="s">
        <v>123</v>
      </c>
      <c r="C20" s="141" t="s">
        <v>122</v>
      </c>
      <c r="D20" s="141" t="s">
        <v>124</v>
      </c>
      <c r="E20" s="142">
        <v>44.700631000000001</v>
      </c>
      <c r="F20" s="142">
        <v>10.599942</v>
      </c>
      <c r="G20" s="141" t="s">
        <v>351</v>
      </c>
      <c r="H20" s="141" t="s">
        <v>352</v>
      </c>
      <c r="I20" s="141" t="s">
        <v>413</v>
      </c>
      <c r="J20" s="143" t="s">
        <v>414</v>
      </c>
      <c r="K20" s="141" t="s">
        <v>415</v>
      </c>
      <c r="L20" s="141" t="s">
        <v>356</v>
      </c>
    </row>
    <row r="21" spans="1:12" ht="15.6" x14ac:dyDescent="0.3">
      <c r="A21" s="141">
        <v>40</v>
      </c>
      <c r="B21" s="141" t="s">
        <v>127</v>
      </c>
      <c r="C21" s="141" t="s">
        <v>126</v>
      </c>
      <c r="D21" s="141" t="s">
        <v>128</v>
      </c>
      <c r="E21" s="142">
        <v>44.657499999999999</v>
      </c>
      <c r="F21" s="142">
        <v>10.708299999999999</v>
      </c>
      <c r="G21" s="141" t="s">
        <v>369</v>
      </c>
      <c r="H21" s="141" t="s">
        <v>370</v>
      </c>
      <c r="I21" s="141" t="s">
        <v>416</v>
      </c>
      <c r="J21" s="143" t="s">
        <v>382</v>
      </c>
      <c r="K21" s="141" t="s">
        <v>417</v>
      </c>
      <c r="L21" s="141" t="s">
        <v>356</v>
      </c>
    </row>
    <row r="22" spans="1:12" ht="26.4" x14ac:dyDescent="0.3">
      <c r="A22" s="141">
        <v>41</v>
      </c>
      <c r="B22" s="141" t="s">
        <v>130</v>
      </c>
      <c r="C22" s="141" t="s">
        <v>129</v>
      </c>
      <c r="D22" s="141" t="s">
        <v>131</v>
      </c>
      <c r="E22" s="142">
        <v>44.693269999999998</v>
      </c>
      <c r="F22" s="142">
        <v>10.64129</v>
      </c>
      <c r="G22" s="141" t="s">
        <v>357</v>
      </c>
      <c r="H22" s="141" t="s">
        <v>352</v>
      </c>
      <c r="I22" s="141" t="s">
        <v>418</v>
      </c>
      <c r="J22" s="143" t="s">
        <v>419</v>
      </c>
      <c r="K22" s="141" t="s">
        <v>420</v>
      </c>
      <c r="L22" s="141" t="s">
        <v>356</v>
      </c>
    </row>
    <row r="23" spans="1:12" ht="52.8" x14ac:dyDescent="0.3">
      <c r="A23" s="141">
        <v>44</v>
      </c>
      <c r="B23" s="141" t="s">
        <v>134</v>
      </c>
      <c r="C23" s="141" t="s">
        <v>133</v>
      </c>
      <c r="D23" s="141" t="s">
        <v>136</v>
      </c>
      <c r="E23" s="142">
        <v>44.693809999999999</v>
      </c>
      <c r="F23" s="142">
        <v>10.655150000000001</v>
      </c>
      <c r="G23" s="141" t="s">
        <v>364</v>
      </c>
      <c r="H23" s="141" t="s">
        <v>365</v>
      </c>
      <c r="I23" s="141" t="s">
        <v>421</v>
      </c>
      <c r="J23" s="143" t="s">
        <v>422</v>
      </c>
      <c r="K23" s="141" t="s">
        <v>423</v>
      </c>
      <c r="L23" s="141" t="s">
        <v>356</v>
      </c>
    </row>
    <row r="24" spans="1:12" ht="92.4" x14ac:dyDescent="0.3">
      <c r="A24" s="141">
        <v>45</v>
      </c>
      <c r="B24" s="141" t="s">
        <v>138</v>
      </c>
      <c r="C24" s="141" t="s">
        <v>137</v>
      </c>
      <c r="D24" s="141" t="s">
        <v>139</v>
      </c>
      <c r="E24" s="142">
        <v>44.7301</v>
      </c>
      <c r="F24" s="142">
        <v>10.645</v>
      </c>
      <c r="G24" s="141" t="s">
        <v>364</v>
      </c>
      <c r="H24" s="141" t="s">
        <v>365</v>
      </c>
      <c r="I24" s="141" t="s">
        <v>424</v>
      </c>
      <c r="J24" s="143" t="s">
        <v>382</v>
      </c>
      <c r="K24" s="141" t="s">
        <v>425</v>
      </c>
      <c r="L24" s="141" t="s">
        <v>356</v>
      </c>
    </row>
    <row r="25" spans="1:12" ht="39.6" x14ac:dyDescent="0.3">
      <c r="A25" s="141">
        <v>46</v>
      </c>
      <c r="B25" s="141" t="s">
        <v>141</v>
      </c>
      <c r="C25" s="141" t="s">
        <v>140</v>
      </c>
      <c r="D25" s="141" t="s">
        <v>142</v>
      </c>
      <c r="E25" s="142">
        <v>44.695</v>
      </c>
      <c r="F25" s="142">
        <v>10.62</v>
      </c>
      <c r="G25" s="141" t="s">
        <v>364</v>
      </c>
      <c r="H25" s="141" t="s">
        <v>365</v>
      </c>
      <c r="I25" s="141" t="s">
        <v>426</v>
      </c>
      <c r="J25" s="143" t="s">
        <v>422</v>
      </c>
      <c r="K25" s="141" t="s">
        <v>427</v>
      </c>
      <c r="L25" s="141" t="s">
        <v>356</v>
      </c>
    </row>
    <row r="26" spans="1:12" ht="52.8" x14ac:dyDescent="0.3">
      <c r="A26" s="141">
        <v>50</v>
      </c>
      <c r="B26" s="141" t="s">
        <v>149</v>
      </c>
      <c r="C26" s="141" t="s">
        <v>148</v>
      </c>
      <c r="D26" s="141" t="s">
        <v>150</v>
      </c>
      <c r="E26" s="142">
        <v>44.70975</v>
      </c>
      <c r="F26" s="142">
        <v>10.608269999999999</v>
      </c>
      <c r="G26" s="141" t="s">
        <v>428</v>
      </c>
      <c r="H26" s="141" t="s">
        <v>370</v>
      </c>
      <c r="I26" s="141" t="s">
        <v>429</v>
      </c>
      <c r="J26" s="143" t="s">
        <v>430</v>
      </c>
      <c r="K26" s="141" t="s">
        <v>431</v>
      </c>
      <c r="L26" s="141" t="s">
        <v>356</v>
      </c>
    </row>
    <row r="27" spans="1:12" ht="26.4" x14ac:dyDescent="0.3">
      <c r="A27" s="141">
        <v>52</v>
      </c>
      <c r="B27" s="141" t="s">
        <v>156</v>
      </c>
      <c r="C27" s="141" t="s">
        <v>155</v>
      </c>
      <c r="D27" s="141" t="s">
        <v>157</v>
      </c>
      <c r="E27" s="142">
        <v>44.6982</v>
      </c>
      <c r="F27" s="142">
        <v>10.617800000000001</v>
      </c>
      <c r="G27" s="141" t="s">
        <v>369</v>
      </c>
      <c r="H27" s="141" t="s">
        <v>365</v>
      </c>
      <c r="I27" s="141" t="s">
        <v>432</v>
      </c>
      <c r="J27" s="143" t="s">
        <v>433</v>
      </c>
      <c r="K27" s="141" t="s">
        <v>434</v>
      </c>
      <c r="L27" s="141" t="s">
        <v>356</v>
      </c>
    </row>
    <row r="28" spans="1:12" ht="39.6" x14ac:dyDescent="0.3">
      <c r="A28" s="141">
        <v>53</v>
      </c>
      <c r="B28" s="141" t="s">
        <v>159</v>
      </c>
      <c r="C28" s="141" t="s">
        <v>158</v>
      </c>
      <c r="D28" s="141" t="s">
        <v>160</v>
      </c>
      <c r="E28" s="142">
        <v>44.709000000000003</v>
      </c>
      <c r="F28" s="142">
        <v>10.608700000000001</v>
      </c>
      <c r="G28" s="141" t="s">
        <v>369</v>
      </c>
      <c r="H28" s="141" t="s">
        <v>370</v>
      </c>
      <c r="I28" s="141" t="s">
        <v>435</v>
      </c>
      <c r="J28" s="143" t="s">
        <v>436</v>
      </c>
      <c r="K28" s="141" t="s">
        <v>437</v>
      </c>
      <c r="L28" s="141" t="s">
        <v>356</v>
      </c>
    </row>
    <row r="29" spans="1:12" ht="26.4" x14ac:dyDescent="0.3">
      <c r="A29" s="141">
        <v>56</v>
      </c>
      <c r="B29" s="141" t="s">
        <v>163</v>
      </c>
      <c r="C29" s="141" t="s">
        <v>162</v>
      </c>
      <c r="D29" s="141" t="s">
        <v>165</v>
      </c>
      <c r="E29" s="142">
        <v>44.700042000000003</v>
      </c>
      <c r="F29" s="142">
        <v>10.632056</v>
      </c>
      <c r="G29" s="141" t="s">
        <v>357</v>
      </c>
      <c r="H29" s="141" t="s">
        <v>352</v>
      </c>
      <c r="I29" s="141" t="s">
        <v>438</v>
      </c>
      <c r="J29" s="143" t="s">
        <v>439</v>
      </c>
      <c r="K29" s="141" t="s">
        <v>440</v>
      </c>
      <c r="L29" s="141" t="s">
        <v>356</v>
      </c>
    </row>
    <row r="30" spans="1:12" ht="26.4" x14ac:dyDescent="0.3">
      <c r="A30" s="141">
        <v>57</v>
      </c>
      <c r="B30" s="141" t="s">
        <v>163</v>
      </c>
      <c r="C30" s="141" t="s">
        <v>166</v>
      </c>
      <c r="D30" s="141"/>
      <c r="E30" s="142">
        <v>44.700042000000003</v>
      </c>
      <c r="F30" s="142">
        <v>10.632056</v>
      </c>
      <c r="G30" s="141" t="s">
        <v>441</v>
      </c>
      <c r="H30" s="141" t="s">
        <v>352</v>
      </c>
      <c r="I30" s="141" t="s">
        <v>442</v>
      </c>
      <c r="J30" s="143" t="s">
        <v>439</v>
      </c>
      <c r="K30" s="141" t="s">
        <v>443</v>
      </c>
      <c r="L30" s="141" t="s">
        <v>356</v>
      </c>
    </row>
    <row r="31" spans="1:12" ht="26.4" x14ac:dyDescent="0.3">
      <c r="A31" s="141">
        <v>62</v>
      </c>
      <c r="B31" s="141" t="s">
        <v>176</v>
      </c>
      <c r="C31" s="141" t="s">
        <v>175</v>
      </c>
      <c r="D31" s="141" t="s">
        <v>177</v>
      </c>
      <c r="E31" s="142">
        <v>44.6892</v>
      </c>
      <c r="F31" s="142">
        <v>10.724</v>
      </c>
      <c r="G31" s="141" t="s">
        <v>369</v>
      </c>
      <c r="H31" s="141" t="s">
        <v>370</v>
      </c>
      <c r="I31" s="141" t="s">
        <v>444</v>
      </c>
      <c r="J31" s="143" t="s">
        <v>382</v>
      </c>
      <c r="K31" s="141" t="s">
        <v>445</v>
      </c>
      <c r="L31" s="141" t="s">
        <v>356</v>
      </c>
    </row>
    <row r="32" spans="1:12" ht="39.6" x14ac:dyDescent="0.3">
      <c r="A32" s="141">
        <v>65</v>
      </c>
      <c r="B32" s="141" t="s">
        <v>180</v>
      </c>
      <c r="C32" s="141" t="s">
        <v>179</v>
      </c>
      <c r="D32" s="141" t="s">
        <v>181</v>
      </c>
      <c r="E32" s="142">
        <v>44.680999999999997</v>
      </c>
      <c r="F32" s="142">
        <v>10.6637</v>
      </c>
      <c r="G32" s="141" t="s">
        <v>401</v>
      </c>
      <c r="H32" s="141" t="s">
        <v>370</v>
      </c>
      <c r="I32" s="141" t="s">
        <v>446</v>
      </c>
      <c r="J32" s="143" t="s">
        <v>447</v>
      </c>
      <c r="K32" s="141" t="s">
        <v>448</v>
      </c>
      <c r="L32" s="141" t="s">
        <v>356</v>
      </c>
    </row>
    <row r="33" spans="1:12" ht="39.6" x14ac:dyDescent="0.3">
      <c r="A33" s="141">
        <v>66</v>
      </c>
      <c r="B33" s="141" t="s">
        <v>184</v>
      </c>
      <c r="C33" s="141" t="s">
        <v>183</v>
      </c>
      <c r="D33" s="141" t="s">
        <v>185</v>
      </c>
      <c r="E33" s="142">
        <v>44.69867</v>
      </c>
      <c r="F33" s="142">
        <v>10.61177</v>
      </c>
      <c r="G33" s="141" t="s">
        <v>357</v>
      </c>
      <c r="H33" s="141" t="s">
        <v>352</v>
      </c>
      <c r="I33" s="141" t="s">
        <v>449</v>
      </c>
      <c r="J33" s="143" t="s">
        <v>450</v>
      </c>
      <c r="K33" s="141" t="s">
        <v>451</v>
      </c>
      <c r="L33" s="141" t="s">
        <v>356</v>
      </c>
    </row>
    <row r="34" spans="1:12" ht="26.4" x14ac:dyDescent="0.3">
      <c r="A34" s="141">
        <v>67</v>
      </c>
      <c r="B34" s="141" t="s">
        <v>187</v>
      </c>
      <c r="C34" s="141" t="s">
        <v>186</v>
      </c>
      <c r="D34" s="141"/>
      <c r="E34" s="142">
        <v>44.698999999999998</v>
      </c>
      <c r="F34" s="142">
        <v>10.623900000000001</v>
      </c>
      <c r="G34" s="141" t="s">
        <v>357</v>
      </c>
      <c r="H34" s="141" t="s">
        <v>352</v>
      </c>
      <c r="I34" s="141" t="s">
        <v>452</v>
      </c>
      <c r="J34" s="143" t="s">
        <v>453</v>
      </c>
      <c r="K34" s="141" t="s">
        <v>454</v>
      </c>
      <c r="L34" s="141" t="s">
        <v>356</v>
      </c>
    </row>
    <row r="35" spans="1:12" ht="26.4" x14ac:dyDescent="0.3">
      <c r="A35" s="141">
        <v>68</v>
      </c>
      <c r="B35" s="141" t="s">
        <v>190</v>
      </c>
      <c r="C35" s="141" t="s">
        <v>189</v>
      </c>
      <c r="D35" s="141" t="s">
        <v>193</v>
      </c>
      <c r="E35" s="142">
        <v>44.7194</v>
      </c>
      <c r="F35" s="142">
        <v>10.6797</v>
      </c>
      <c r="G35" s="141" t="s">
        <v>369</v>
      </c>
      <c r="H35" s="141" t="s">
        <v>370</v>
      </c>
      <c r="I35" s="141" t="s">
        <v>455</v>
      </c>
      <c r="J35" s="143" t="s">
        <v>382</v>
      </c>
      <c r="K35" s="141" t="s">
        <v>456</v>
      </c>
      <c r="L35" s="141" t="s">
        <v>356</v>
      </c>
    </row>
    <row r="36" spans="1:12" ht="26.4" x14ac:dyDescent="0.3">
      <c r="A36" s="141">
        <v>69</v>
      </c>
      <c r="B36" s="141" t="s">
        <v>195</v>
      </c>
      <c r="C36" s="141" t="s">
        <v>194</v>
      </c>
      <c r="D36" s="141" t="s">
        <v>196</v>
      </c>
      <c r="E36" s="142">
        <v>44.72437</v>
      </c>
      <c r="F36" s="142">
        <v>10.63161</v>
      </c>
      <c r="G36" s="141" t="s">
        <v>364</v>
      </c>
      <c r="H36" s="141" t="s">
        <v>365</v>
      </c>
      <c r="I36" s="141" t="s">
        <v>457</v>
      </c>
      <c r="J36" s="143" t="s">
        <v>458</v>
      </c>
      <c r="K36" s="141" t="s">
        <v>459</v>
      </c>
      <c r="L36" s="141" t="s">
        <v>356</v>
      </c>
    </row>
    <row r="37" spans="1:12" ht="26.4" x14ac:dyDescent="0.3">
      <c r="A37" s="141">
        <v>70</v>
      </c>
      <c r="B37" s="141" t="s">
        <v>198</v>
      </c>
      <c r="C37" s="141" t="s">
        <v>197</v>
      </c>
      <c r="D37" s="141" t="s">
        <v>196</v>
      </c>
      <c r="E37" s="142">
        <v>44.72437</v>
      </c>
      <c r="F37" s="142">
        <v>10.63161</v>
      </c>
      <c r="G37" s="141" t="s">
        <v>364</v>
      </c>
      <c r="H37" s="141" t="s">
        <v>365</v>
      </c>
      <c r="I37" s="141" t="s">
        <v>457</v>
      </c>
      <c r="J37" s="143" t="s">
        <v>458</v>
      </c>
      <c r="K37" s="141" t="s">
        <v>459</v>
      </c>
      <c r="L37" s="141" t="s">
        <v>356</v>
      </c>
    </row>
    <row r="38" spans="1:12" ht="26.4" x14ac:dyDescent="0.3">
      <c r="A38" s="141">
        <v>71</v>
      </c>
      <c r="B38" s="141" t="s">
        <v>200</v>
      </c>
      <c r="C38" s="141" t="s">
        <v>199</v>
      </c>
      <c r="D38" s="141" t="s">
        <v>196</v>
      </c>
      <c r="E38" s="142">
        <v>44.72437</v>
      </c>
      <c r="F38" s="142">
        <v>10.63161</v>
      </c>
      <c r="G38" s="141" t="s">
        <v>364</v>
      </c>
      <c r="H38" s="141" t="s">
        <v>365</v>
      </c>
      <c r="I38" s="141" t="s">
        <v>457</v>
      </c>
      <c r="J38" s="143" t="s">
        <v>458</v>
      </c>
      <c r="K38" s="141" t="s">
        <v>459</v>
      </c>
      <c r="L38" s="141" t="s">
        <v>356</v>
      </c>
    </row>
    <row r="39" spans="1:12" ht="15.6" x14ac:dyDescent="0.3">
      <c r="A39" s="141">
        <v>72</v>
      </c>
      <c r="B39" s="141" t="s">
        <v>203</v>
      </c>
      <c r="C39" s="141" t="s">
        <v>202</v>
      </c>
      <c r="D39" s="141" t="s">
        <v>204</v>
      </c>
      <c r="E39" s="142">
        <v>44.6892</v>
      </c>
      <c r="F39" s="142">
        <v>10.724</v>
      </c>
      <c r="G39" s="141" t="s">
        <v>369</v>
      </c>
      <c r="H39" s="141" t="s">
        <v>370</v>
      </c>
      <c r="I39" s="141" t="s">
        <v>460</v>
      </c>
      <c r="J39" s="143" t="s">
        <v>382</v>
      </c>
      <c r="K39" s="141" t="s">
        <v>461</v>
      </c>
      <c r="L39" s="141" t="s">
        <v>356</v>
      </c>
    </row>
    <row r="40" spans="1:12" ht="26.4" x14ac:dyDescent="0.3">
      <c r="A40" s="141">
        <v>73</v>
      </c>
      <c r="B40" s="141" t="s">
        <v>206</v>
      </c>
      <c r="C40" s="141" t="s">
        <v>205</v>
      </c>
      <c r="D40" s="141" t="s">
        <v>207</v>
      </c>
      <c r="E40" s="142">
        <v>44.7288</v>
      </c>
      <c r="F40" s="142">
        <v>10.574199999999999</v>
      </c>
      <c r="G40" s="141" t="s">
        <v>377</v>
      </c>
      <c r="H40" s="141" t="s">
        <v>352</v>
      </c>
      <c r="I40" s="141" t="s">
        <v>462</v>
      </c>
      <c r="J40" s="143" t="s">
        <v>463</v>
      </c>
      <c r="K40" s="141" t="s">
        <v>464</v>
      </c>
      <c r="L40" s="141" t="s">
        <v>356</v>
      </c>
    </row>
    <row r="41" spans="1:12" ht="39.6" x14ac:dyDescent="0.3">
      <c r="A41" s="141">
        <v>76</v>
      </c>
      <c r="B41" s="141" t="s">
        <v>210</v>
      </c>
      <c r="C41" s="141" t="s">
        <v>209</v>
      </c>
      <c r="D41" s="141" t="s">
        <v>211</v>
      </c>
      <c r="E41" s="142">
        <v>44.685400000000001</v>
      </c>
      <c r="F41" s="142">
        <v>10.618</v>
      </c>
      <c r="G41" s="141" t="s">
        <v>357</v>
      </c>
      <c r="H41" s="141" t="s">
        <v>352</v>
      </c>
      <c r="I41" s="141" t="s">
        <v>465</v>
      </c>
      <c r="J41" s="143" t="s">
        <v>466</v>
      </c>
      <c r="K41" s="141" t="s">
        <v>467</v>
      </c>
      <c r="L41" s="141" t="s">
        <v>356</v>
      </c>
    </row>
    <row r="42" spans="1:12" ht="26.4" x14ac:dyDescent="0.3">
      <c r="A42" s="141">
        <v>80</v>
      </c>
      <c r="B42" s="141" t="s">
        <v>222</v>
      </c>
      <c r="C42" s="141" t="s">
        <v>221</v>
      </c>
      <c r="D42" s="141" t="s">
        <v>224</v>
      </c>
      <c r="E42" s="142">
        <v>44.701301000000001</v>
      </c>
      <c r="F42" s="142">
        <v>10.645153000000001</v>
      </c>
      <c r="G42" s="141" t="s">
        <v>357</v>
      </c>
      <c r="H42" s="141" t="s">
        <v>352</v>
      </c>
      <c r="I42" s="141" t="s">
        <v>468</v>
      </c>
      <c r="J42" s="143" t="s">
        <v>469</v>
      </c>
      <c r="K42" s="141" t="s">
        <v>470</v>
      </c>
      <c r="L42" s="141" t="s">
        <v>356</v>
      </c>
    </row>
    <row r="43" spans="1:12" ht="26.4" x14ac:dyDescent="0.3">
      <c r="A43" s="141">
        <v>81</v>
      </c>
      <c r="B43" s="141" t="s">
        <v>226</v>
      </c>
      <c r="C43" s="141" t="s">
        <v>225</v>
      </c>
      <c r="D43" s="141" t="s">
        <v>227</v>
      </c>
      <c r="E43" s="142">
        <v>44.701301000000001</v>
      </c>
      <c r="F43" s="142">
        <v>10.645153000000001</v>
      </c>
      <c r="G43" s="141" t="s">
        <v>357</v>
      </c>
      <c r="H43" s="141" t="s">
        <v>352</v>
      </c>
      <c r="I43" s="141" t="s">
        <v>468</v>
      </c>
      <c r="J43" s="143" t="s">
        <v>469</v>
      </c>
      <c r="K43" s="141" t="s">
        <v>471</v>
      </c>
      <c r="L43" s="141" t="s">
        <v>356</v>
      </c>
    </row>
    <row r="44" spans="1:12" ht="26.4" x14ac:dyDescent="0.3">
      <c r="A44" s="141">
        <v>84</v>
      </c>
      <c r="B44" s="141" t="s">
        <v>230</v>
      </c>
      <c r="C44" s="141" t="s">
        <v>229</v>
      </c>
      <c r="D44" s="141" t="s">
        <v>297</v>
      </c>
      <c r="E44" s="142">
        <v>44.69829</v>
      </c>
      <c r="F44" s="142">
        <v>10.634130000000001</v>
      </c>
      <c r="G44" s="141" t="s">
        <v>472</v>
      </c>
      <c r="H44" s="141" t="s">
        <v>473</v>
      </c>
      <c r="I44" s="141" t="s">
        <v>474</v>
      </c>
      <c r="J44" s="143" t="s">
        <v>466</v>
      </c>
      <c r="K44" s="141" t="s">
        <v>475</v>
      </c>
      <c r="L44" s="141" t="s">
        <v>356</v>
      </c>
    </row>
    <row r="45" spans="1:12" ht="26.4" x14ac:dyDescent="0.3">
      <c r="A45" s="141">
        <v>85</v>
      </c>
      <c r="B45" s="141" t="s">
        <v>233</v>
      </c>
      <c r="C45" s="141" t="s">
        <v>232</v>
      </c>
      <c r="D45" s="141" t="s">
        <v>298</v>
      </c>
      <c r="E45" s="142">
        <v>44.69829</v>
      </c>
      <c r="F45" s="142">
        <v>10.634130000000001</v>
      </c>
      <c r="G45" s="141" t="s">
        <v>472</v>
      </c>
      <c r="H45" s="141" t="s">
        <v>473</v>
      </c>
      <c r="I45" s="141" t="s">
        <v>474</v>
      </c>
      <c r="J45" s="143" t="s">
        <v>466</v>
      </c>
      <c r="K45" s="141" t="s">
        <v>475</v>
      </c>
      <c r="L45" s="141" t="s">
        <v>356</v>
      </c>
    </row>
    <row r="46" spans="1:12" ht="26.4" x14ac:dyDescent="0.3">
      <c r="A46" s="141">
        <v>86</v>
      </c>
      <c r="B46" s="141" t="s">
        <v>235</v>
      </c>
      <c r="C46" s="141" t="s">
        <v>234</v>
      </c>
      <c r="D46" s="141" t="s">
        <v>299</v>
      </c>
      <c r="E46" s="142">
        <v>44.69829</v>
      </c>
      <c r="F46" s="142">
        <v>10.634130000000001</v>
      </c>
      <c r="G46" s="141" t="s">
        <v>472</v>
      </c>
      <c r="H46" s="141" t="s">
        <v>473</v>
      </c>
      <c r="I46" s="141" t="s">
        <v>474</v>
      </c>
      <c r="J46" s="143" t="s">
        <v>466</v>
      </c>
      <c r="K46" s="141" t="s">
        <v>475</v>
      </c>
      <c r="L46" s="141" t="s">
        <v>356</v>
      </c>
    </row>
    <row r="47" spans="1:12" ht="26.4" x14ac:dyDescent="0.3">
      <c r="A47" s="141">
        <v>87</v>
      </c>
      <c r="B47" s="141" t="s">
        <v>237</v>
      </c>
      <c r="C47" s="141" t="s">
        <v>236</v>
      </c>
      <c r="D47" s="141" t="s">
        <v>300</v>
      </c>
      <c r="E47" s="142">
        <v>44.69829</v>
      </c>
      <c r="F47" s="142">
        <v>10.634130000000001</v>
      </c>
      <c r="G47" s="141" t="s">
        <v>472</v>
      </c>
      <c r="H47" s="141" t="s">
        <v>473</v>
      </c>
      <c r="I47" s="141" t="s">
        <v>474</v>
      </c>
      <c r="J47" s="143" t="s">
        <v>466</v>
      </c>
      <c r="K47" s="141" t="s">
        <v>475</v>
      </c>
      <c r="L47" s="141" t="s">
        <v>356</v>
      </c>
    </row>
    <row r="48" spans="1:12" ht="26.4" x14ac:dyDescent="0.3">
      <c r="A48" s="141">
        <v>88</v>
      </c>
      <c r="B48" s="141" t="s">
        <v>239</v>
      </c>
      <c r="C48" s="141" t="s">
        <v>238</v>
      </c>
      <c r="D48" s="141" t="s">
        <v>301</v>
      </c>
      <c r="E48" s="142">
        <v>44.69829</v>
      </c>
      <c r="F48" s="142">
        <v>10.634130000000001</v>
      </c>
      <c r="G48" s="141" t="s">
        <v>472</v>
      </c>
      <c r="H48" s="141" t="s">
        <v>473</v>
      </c>
      <c r="I48" s="141" t="s">
        <v>474</v>
      </c>
      <c r="J48" s="143" t="s">
        <v>466</v>
      </c>
      <c r="K48" s="141" t="s">
        <v>475</v>
      </c>
      <c r="L48" s="141" t="s">
        <v>356</v>
      </c>
    </row>
    <row r="49" spans="1:12" ht="26.4" x14ac:dyDescent="0.3">
      <c r="A49" s="141">
        <v>89</v>
      </c>
      <c r="B49" s="141" t="s">
        <v>241</v>
      </c>
      <c r="C49" s="141" t="s">
        <v>240</v>
      </c>
      <c r="D49" s="141" t="s">
        <v>302</v>
      </c>
      <c r="E49" s="142">
        <v>44.69829</v>
      </c>
      <c r="F49" s="142">
        <v>10.634130000000001</v>
      </c>
      <c r="G49" s="141" t="s">
        <v>472</v>
      </c>
      <c r="H49" s="141" t="s">
        <v>473</v>
      </c>
      <c r="I49" s="141" t="s">
        <v>474</v>
      </c>
      <c r="J49" s="143" t="s">
        <v>466</v>
      </c>
      <c r="K49" s="141" t="s">
        <v>475</v>
      </c>
      <c r="L49" s="141" t="s">
        <v>356</v>
      </c>
    </row>
    <row r="50" spans="1:12" ht="26.4" x14ac:dyDescent="0.3">
      <c r="A50" s="141">
        <v>90</v>
      </c>
      <c r="B50" s="141" t="s">
        <v>243</v>
      </c>
      <c r="C50" s="141" t="s">
        <v>242</v>
      </c>
      <c r="D50" s="141" t="s">
        <v>303</v>
      </c>
      <c r="E50" s="142">
        <v>44.69829</v>
      </c>
      <c r="F50" s="142">
        <v>10.634130000000001</v>
      </c>
      <c r="G50" s="141" t="s">
        <v>472</v>
      </c>
      <c r="H50" s="141" t="s">
        <v>473</v>
      </c>
      <c r="I50" s="141" t="s">
        <v>474</v>
      </c>
      <c r="J50" s="143" t="s">
        <v>466</v>
      </c>
      <c r="K50" s="141" t="s">
        <v>475</v>
      </c>
      <c r="L50" s="141" t="s">
        <v>356</v>
      </c>
    </row>
    <row r="51" spans="1:12" ht="26.4" x14ac:dyDescent="0.3">
      <c r="A51" s="141">
        <v>91</v>
      </c>
      <c r="B51" s="141" t="s">
        <v>245</v>
      </c>
      <c r="C51" s="141" t="s">
        <v>244</v>
      </c>
      <c r="D51" s="141" t="s">
        <v>304</v>
      </c>
      <c r="E51" s="142">
        <v>44.69829</v>
      </c>
      <c r="F51" s="142">
        <v>10.634130000000001</v>
      </c>
      <c r="G51" s="141" t="s">
        <v>472</v>
      </c>
      <c r="H51" s="141" t="s">
        <v>473</v>
      </c>
      <c r="I51" s="141" t="s">
        <v>474</v>
      </c>
      <c r="J51" s="143" t="s">
        <v>466</v>
      </c>
      <c r="K51" s="141" t="s">
        <v>475</v>
      </c>
      <c r="L51" s="141" t="s">
        <v>356</v>
      </c>
    </row>
    <row r="52" spans="1:12" ht="26.4" x14ac:dyDescent="0.3">
      <c r="A52" s="141">
        <v>92</v>
      </c>
      <c r="B52" s="141" t="s">
        <v>247</v>
      </c>
      <c r="C52" s="141" t="s">
        <v>246</v>
      </c>
      <c r="D52" s="141" t="s">
        <v>305</v>
      </c>
      <c r="E52" s="142">
        <v>44.69829</v>
      </c>
      <c r="F52" s="142">
        <v>10.634130000000001</v>
      </c>
      <c r="G52" s="141" t="s">
        <v>472</v>
      </c>
      <c r="H52" s="141" t="s">
        <v>473</v>
      </c>
      <c r="I52" s="141" t="s">
        <v>474</v>
      </c>
      <c r="J52" s="143" t="s">
        <v>466</v>
      </c>
      <c r="K52" s="141" t="s">
        <v>475</v>
      </c>
      <c r="L52" s="141" t="s">
        <v>356</v>
      </c>
    </row>
    <row r="53" spans="1:12" ht="26.4" x14ac:dyDescent="0.3">
      <c r="A53" s="141">
        <v>93</v>
      </c>
      <c r="B53" s="141" t="s">
        <v>249</v>
      </c>
      <c r="C53" s="141" t="s">
        <v>248</v>
      </c>
      <c r="D53" s="141" t="s">
        <v>306</v>
      </c>
      <c r="E53" s="142">
        <v>44.69829</v>
      </c>
      <c r="F53" s="142">
        <v>10.634130000000001</v>
      </c>
      <c r="G53" s="141" t="s">
        <v>472</v>
      </c>
      <c r="H53" s="141" t="s">
        <v>473</v>
      </c>
      <c r="I53" s="141" t="s">
        <v>474</v>
      </c>
      <c r="J53" s="143" t="s">
        <v>466</v>
      </c>
      <c r="K53" s="141" t="s">
        <v>475</v>
      </c>
      <c r="L53" s="141" t="s">
        <v>356</v>
      </c>
    </row>
    <row r="54" spans="1:12" ht="26.4" x14ac:dyDescent="0.3">
      <c r="A54" s="141">
        <v>94</v>
      </c>
      <c r="B54" s="141" t="s">
        <v>250</v>
      </c>
      <c r="C54" s="141" t="s">
        <v>296</v>
      </c>
      <c r="D54" s="141" t="s">
        <v>307</v>
      </c>
      <c r="E54" s="142">
        <v>44.69829</v>
      </c>
      <c r="F54" s="142">
        <v>10.634130000000001</v>
      </c>
      <c r="G54" s="141" t="s">
        <v>472</v>
      </c>
      <c r="H54" s="141" t="s">
        <v>473</v>
      </c>
      <c r="I54" s="141" t="s">
        <v>474</v>
      </c>
      <c r="J54" s="143" t="s">
        <v>466</v>
      </c>
      <c r="K54" s="141" t="s">
        <v>475</v>
      </c>
      <c r="L54" s="141" t="s">
        <v>356</v>
      </c>
    </row>
    <row r="55" spans="1:12" ht="26.4" x14ac:dyDescent="0.3">
      <c r="A55" s="141">
        <v>95</v>
      </c>
      <c r="B55" s="141" t="s">
        <v>252</v>
      </c>
      <c r="C55" s="141" t="s">
        <v>251</v>
      </c>
      <c r="D55" s="141" t="s">
        <v>308</v>
      </c>
      <c r="E55" s="142">
        <v>44.69829</v>
      </c>
      <c r="F55" s="142">
        <v>10.634130000000001</v>
      </c>
      <c r="G55" s="141" t="s">
        <v>472</v>
      </c>
      <c r="H55" s="141" t="s">
        <v>473</v>
      </c>
      <c r="I55" s="141" t="s">
        <v>474</v>
      </c>
      <c r="J55" s="143" t="s">
        <v>466</v>
      </c>
      <c r="K55" s="141" t="s">
        <v>475</v>
      </c>
      <c r="L55" s="141" t="s">
        <v>356</v>
      </c>
    </row>
    <row r="56" spans="1:12" ht="26.4" x14ac:dyDescent="0.3">
      <c r="A56" s="141">
        <v>97</v>
      </c>
      <c r="B56" s="141" t="s">
        <v>257</v>
      </c>
      <c r="C56" s="141" t="s">
        <v>256</v>
      </c>
      <c r="D56" s="141" t="s">
        <v>309</v>
      </c>
      <c r="E56" s="142">
        <v>44.69829</v>
      </c>
      <c r="F56" s="142">
        <v>10.634130000000001</v>
      </c>
      <c r="G56" s="141" t="s">
        <v>472</v>
      </c>
      <c r="H56" s="141" t="s">
        <v>473</v>
      </c>
      <c r="I56" s="141" t="s">
        <v>474</v>
      </c>
      <c r="J56" s="143" t="s">
        <v>466</v>
      </c>
      <c r="K56" s="141" t="s">
        <v>475</v>
      </c>
      <c r="L56" s="141" t="s">
        <v>356</v>
      </c>
    </row>
    <row r="57" spans="1:12" ht="26.4" x14ac:dyDescent="0.3">
      <c r="A57" s="141">
        <v>98</v>
      </c>
      <c r="B57" s="141" t="s">
        <v>294</v>
      </c>
      <c r="C57" s="141" t="s">
        <v>258</v>
      </c>
      <c r="D57" s="141" t="s">
        <v>310</v>
      </c>
      <c r="E57" s="142">
        <v>44.69829</v>
      </c>
      <c r="F57" s="142">
        <v>10.634130000000001</v>
      </c>
      <c r="G57" s="141" t="s">
        <v>472</v>
      </c>
      <c r="H57" s="141" t="s">
        <v>473</v>
      </c>
      <c r="I57" s="141" t="s">
        <v>474</v>
      </c>
      <c r="J57" s="143" t="s">
        <v>466</v>
      </c>
      <c r="K57" s="141" t="s">
        <v>475</v>
      </c>
      <c r="L57" s="141" t="s">
        <v>356</v>
      </c>
    </row>
    <row r="58" spans="1:12" ht="26.4" x14ac:dyDescent="0.3">
      <c r="A58" s="141">
        <v>99</v>
      </c>
      <c r="B58" s="141" t="s">
        <v>293</v>
      </c>
      <c r="C58" s="141" t="s">
        <v>259</v>
      </c>
      <c r="D58" s="141" t="s">
        <v>311</v>
      </c>
      <c r="E58" s="142">
        <v>44.69829</v>
      </c>
      <c r="F58" s="142">
        <v>10.634130000000001</v>
      </c>
      <c r="G58" s="141" t="s">
        <v>472</v>
      </c>
      <c r="H58" s="141" t="s">
        <v>473</v>
      </c>
      <c r="I58" s="141" t="s">
        <v>474</v>
      </c>
      <c r="J58" s="143" t="s">
        <v>466</v>
      </c>
      <c r="K58" s="141" t="s">
        <v>475</v>
      </c>
      <c r="L58" s="141" t="s">
        <v>356</v>
      </c>
    </row>
    <row r="59" spans="1:12" ht="26.4" x14ac:dyDescent="0.3">
      <c r="A59" s="141">
        <v>100</v>
      </c>
      <c r="B59" s="141" t="s">
        <v>292</v>
      </c>
      <c r="C59" s="141" t="s">
        <v>260</v>
      </c>
      <c r="D59" s="141" t="s">
        <v>312</v>
      </c>
      <c r="E59" s="142">
        <v>44.69829</v>
      </c>
      <c r="F59" s="142">
        <v>10.634130000000001</v>
      </c>
      <c r="G59" s="141" t="s">
        <v>472</v>
      </c>
      <c r="H59" s="141" t="s">
        <v>473</v>
      </c>
      <c r="I59" s="141" t="s">
        <v>474</v>
      </c>
      <c r="J59" s="143" t="s">
        <v>466</v>
      </c>
      <c r="K59" s="141" t="s">
        <v>475</v>
      </c>
      <c r="L59" s="141" t="s">
        <v>356</v>
      </c>
    </row>
    <row r="60" spans="1:12" ht="26.4" x14ac:dyDescent="0.3">
      <c r="A60" s="141">
        <v>101</v>
      </c>
      <c r="B60" s="141" t="s">
        <v>295</v>
      </c>
      <c r="C60" s="141" t="s">
        <v>291</v>
      </c>
      <c r="D60" s="141" t="s">
        <v>313</v>
      </c>
      <c r="E60" s="142">
        <v>44.69829</v>
      </c>
      <c r="F60" s="142">
        <v>10.634130000000001</v>
      </c>
      <c r="G60" s="141" t="s">
        <v>472</v>
      </c>
      <c r="H60" s="141" t="s">
        <v>473</v>
      </c>
      <c r="I60" s="141" t="s">
        <v>474</v>
      </c>
      <c r="J60" s="143" t="s">
        <v>466</v>
      </c>
      <c r="K60" s="141" t="s">
        <v>475</v>
      </c>
      <c r="L60" s="141" t="s">
        <v>356</v>
      </c>
    </row>
    <row r="61" spans="1:12" ht="26.4" x14ac:dyDescent="0.3">
      <c r="A61" s="141">
        <v>103</v>
      </c>
      <c r="B61" s="141" t="s">
        <v>262</v>
      </c>
      <c r="C61" s="141" t="s">
        <v>261</v>
      </c>
      <c r="D61" s="141"/>
      <c r="E61" s="142">
        <v>44.69829</v>
      </c>
      <c r="F61" s="142">
        <v>10.634130000000001</v>
      </c>
      <c r="G61" s="141" t="s">
        <v>472</v>
      </c>
      <c r="H61" s="141" t="s">
        <v>473</v>
      </c>
      <c r="I61" s="141" t="s">
        <v>474</v>
      </c>
      <c r="J61" s="143" t="s">
        <v>466</v>
      </c>
      <c r="K61" s="141" t="s">
        <v>476</v>
      </c>
      <c r="L61" s="141" t="s">
        <v>356</v>
      </c>
    </row>
    <row r="62" spans="1:12" ht="26.4" x14ac:dyDescent="0.3">
      <c r="A62" s="141">
        <v>105</v>
      </c>
      <c r="B62" s="141" t="s">
        <v>264</v>
      </c>
      <c r="C62" s="141" t="s">
        <v>263</v>
      </c>
      <c r="D62" s="141" t="s">
        <v>267</v>
      </c>
      <c r="E62" s="142">
        <v>44.704500000000003</v>
      </c>
      <c r="F62" s="142">
        <v>10.65982</v>
      </c>
      <c r="G62" s="141" t="s">
        <v>357</v>
      </c>
      <c r="H62" s="141" t="s">
        <v>352</v>
      </c>
      <c r="I62" s="141" t="s">
        <v>477</v>
      </c>
      <c r="J62" s="143" t="s">
        <v>450</v>
      </c>
      <c r="K62" s="141" t="s">
        <v>478</v>
      </c>
      <c r="L62" s="141" t="s">
        <v>356</v>
      </c>
    </row>
    <row r="63" spans="1:12" ht="26.4" x14ac:dyDescent="0.3">
      <c r="A63" s="141">
        <v>107</v>
      </c>
      <c r="B63" s="141" t="s">
        <v>269</v>
      </c>
      <c r="C63" s="141" t="s">
        <v>268</v>
      </c>
      <c r="D63" s="141" t="s">
        <v>272</v>
      </c>
      <c r="E63" s="142">
        <v>44.6995</v>
      </c>
      <c r="F63" s="142">
        <v>10.6426</v>
      </c>
      <c r="G63" s="141" t="s">
        <v>479</v>
      </c>
      <c r="H63" s="141" t="s">
        <v>352</v>
      </c>
      <c r="I63" s="141" t="s">
        <v>480</v>
      </c>
      <c r="J63" s="143" t="s">
        <v>481</v>
      </c>
      <c r="K63" s="141" t="s">
        <v>482</v>
      </c>
      <c r="L63" s="141" t="s">
        <v>356</v>
      </c>
    </row>
    <row r="64" spans="1:12" ht="39.6" x14ac:dyDescent="0.3">
      <c r="A64" s="141">
        <v>116</v>
      </c>
      <c r="B64" s="141" t="s">
        <v>149</v>
      </c>
      <c r="C64" s="141" t="s">
        <v>285</v>
      </c>
      <c r="D64" s="141"/>
      <c r="E64" s="142">
        <v>44.70975</v>
      </c>
      <c r="F64" s="142">
        <v>10.608269999999999</v>
      </c>
      <c r="G64" s="141" t="s">
        <v>441</v>
      </c>
      <c r="H64" s="141" t="s">
        <v>370</v>
      </c>
      <c r="I64" s="141" t="s">
        <v>483</v>
      </c>
      <c r="J64" s="143" t="s">
        <v>430</v>
      </c>
      <c r="K64" s="141" t="s">
        <v>484</v>
      </c>
      <c r="L64" s="141" t="s">
        <v>356</v>
      </c>
    </row>
    <row r="65" spans="1:12" ht="26.4" x14ac:dyDescent="0.3">
      <c r="A65" s="141">
        <v>120</v>
      </c>
      <c r="B65" s="141" t="s">
        <v>156</v>
      </c>
      <c r="C65" s="141" t="s">
        <v>289</v>
      </c>
      <c r="D65" s="141"/>
      <c r="E65" s="142">
        <v>44.6982</v>
      </c>
      <c r="F65" s="142">
        <v>10.617800000000001</v>
      </c>
      <c r="G65" s="141" t="s">
        <v>441</v>
      </c>
      <c r="H65" s="141" t="s">
        <v>365</v>
      </c>
      <c r="I65" s="141" t="s">
        <v>485</v>
      </c>
      <c r="J65" s="143" t="s">
        <v>433</v>
      </c>
      <c r="K65" s="141" t="s">
        <v>486</v>
      </c>
      <c r="L65" s="141" t="s">
        <v>356</v>
      </c>
    </row>
    <row r="66" spans="1:12" ht="26.4" x14ac:dyDescent="0.3">
      <c r="A66" s="141">
        <v>121</v>
      </c>
      <c r="B66" s="141" t="s">
        <v>159</v>
      </c>
      <c r="C66" s="141" t="s">
        <v>290</v>
      </c>
      <c r="D66" s="141"/>
      <c r="E66" s="142">
        <v>44.709000000000003</v>
      </c>
      <c r="F66" s="142">
        <v>10.608700000000001</v>
      </c>
      <c r="G66" s="141" t="s">
        <v>441</v>
      </c>
      <c r="H66" s="141" t="s">
        <v>370</v>
      </c>
      <c r="I66" s="141" t="s">
        <v>487</v>
      </c>
      <c r="J66" s="143" t="s">
        <v>436</v>
      </c>
      <c r="K66" s="141" t="s">
        <v>488</v>
      </c>
      <c r="L66" s="141" t="s">
        <v>356</v>
      </c>
    </row>
    <row r="67" spans="1:12" ht="39.6" x14ac:dyDescent="0.25">
      <c r="A67" s="141">
        <v>49</v>
      </c>
      <c r="B67" s="141" t="s">
        <v>145</v>
      </c>
      <c r="C67" s="141" t="s">
        <v>144</v>
      </c>
      <c r="D67" s="141" t="s">
        <v>147</v>
      </c>
      <c r="E67" s="142"/>
      <c r="F67" s="142"/>
      <c r="G67" s="141" t="s">
        <v>489</v>
      </c>
      <c r="H67" s="141" t="s">
        <v>490</v>
      </c>
      <c r="I67" s="141" t="s">
        <v>491</v>
      </c>
      <c r="J67" s="141"/>
      <c r="K67" s="141" t="s">
        <v>492</v>
      </c>
      <c r="L67" s="141" t="s">
        <v>493</v>
      </c>
    </row>
    <row r="68" spans="1:12" ht="66" x14ac:dyDescent="0.25">
      <c r="A68" s="141">
        <v>51</v>
      </c>
      <c r="B68" s="141" t="s">
        <v>152</v>
      </c>
      <c r="C68" s="141" t="s">
        <v>151</v>
      </c>
      <c r="D68" s="141" t="s">
        <v>154</v>
      </c>
      <c r="E68" s="142"/>
      <c r="F68" s="142"/>
      <c r="G68" s="141" t="s">
        <v>494</v>
      </c>
      <c r="H68" s="141" t="s">
        <v>490</v>
      </c>
      <c r="I68" s="141" t="s">
        <v>491</v>
      </c>
      <c r="J68" s="141"/>
      <c r="K68" s="141" t="s">
        <v>495</v>
      </c>
      <c r="L68" s="141" t="s">
        <v>493</v>
      </c>
    </row>
    <row r="69" spans="1:12" ht="26.4" x14ac:dyDescent="0.25">
      <c r="A69" s="141">
        <v>77</v>
      </c>
      <c r="B69" s="141" t="s">
        <v>213</v>
      </c>
      <c r="C69" s="141" t="s">
        <v>212</v>
      </c>
      <c r="D69" s="141" t="s">
        <v>215</v>
      </c>
      <c r="E69" s="142"/>
      <c r="F69" s="142"/>
      <c r="G69" s="141" t="s">
        <v>496</v>
      </c>
      <c r="H69" s="141" t="s">
        <v>490</v>
      </c>
      <c r="I69" s="141" t="s">
        <v>491</v>
      </c>
      <c r="J69" s="141"/>
      <c r="K69" s="141" t="s">
        <v>497</v>
      </c>
      <c r="L69" s="141" t="s">
        <v>493</v>
      </c>
    </row>
    <row r="70" spans="1:12" ht="79.2" x14ac:dyDescent="0.25">
      <c r="A70" s="141">
        <v>78</v>
      </c>
      <c r="B70" s="141" t="s">
        <v>217</v>
      </c>
      <c r="C70" s="141" t="s">
        <v>216</v>
      </c>
      <c r="D70" s="141" t="s">
        <v>498</v>
      </c>
      <c r="E70" s="142"/>
      <c r="F70" s="142"/>
      <c r="G70" s="141" t="s">
        <v>496</v>
      </c>
      <c r="H70" s="141" t="s">
        <v>490</v>
      </c>
      <c r="I70" s="141" t="s">
        <v>491</v>
      </c>
      <c r="J70" s="141"/>
      <c r="K70" s="141" t="s">
        <v>499</v>
      </c>
      <c r="L70" s="141" t="s">
        <v>493</v>
      </c>
    </row>
    <row r="71" spans="1:12" ht="66" x14ac:dyDescent="0.25">
      <c r="A71" s="141">
        <v>79</v>
      </c>
      <c r="B71" s="141" t="s">
        <v>219</v>
      </c>
      <c r="C71" s="141" t="s">
        <v>218</v>
      </c>
      <c r="D71" s="141" t="s">
        <v>220</v>
      </c>
      <c r="E71" s="142"/>
      <c r="F71" s="142"/>
      <c r="G71" s="141" t="s">
        <v>496</v>
      </c>
      <c r="H71" s="141" t="s">
        <v>490</v>
      </c>
      <c r="I71" s="141" t="s">
        <v>491</v>
      </c>
      <c r="J71" s="141"/>
      <c r="K71" s="141" t="s">
        <v>500</v>
      </c>
      <c r="L71" s="141" t="s">
        <v>493</v>
      </c>
    </row>
    <row r="72" spans="1:12" ht="26.4" x14ac:dyDescent="0.25">
      <c r="A72" s="141">
        <v>96</v>
      </c>
      <c r="B72" s="141" t="s">
        <v>254</v>
      </c>
      <c r="C72" s="141" t="s">
        <v>253</v>
      </c>
      <c r="D72" s="141" t="s">
        <v>314</v>
      </c>
      <c r="E72" s="142"/>
      <c r="F72" s="142"/>
      <c r="G72" s="141" t="s">
        <v>501</v>
      </c>
      <c r="H72" s="141" t="s">
        <v>490</v>
      </c>
      <c r="I72" s="141" t="s">
        <v>491</v>
      </c>
      <c r="J72" s="141"/>
      <c r="K72" s="141" t="s">
        <v>502</v>
      </c>
      <c r="L72" s="141" t="s">
        <v>493</v>
      </c>
    </row>
    <row r="73" spans="1:12" ht="39.6" x14ac:dyDescent="0.25">
      <c r="A73" s="141">
        <v>110</v>
      </c>
      <c r="B73" s="141" t="s">
        <v>276</v>
      </c>
      <c r="C73" s="141" t="s">
        <v>275</v>
      </c>
      <c r="D73" s="141"/>
      <c r="E73" s="142"/>
      <c r="F73" s="142"/>
      <c r="G73" s="141" t="s">
        <v>503</v>
      </c>
      <c r="H73" s="141" t="s">
        <v>490</v>
      </c>
      <c r="I73" s="141" t="s">
        <v>491</v>
      </c>
      <c r="J73" s="141"/>
      <c r="K73" s="141" t="s">
        <v>504</v>
      </c>
      <c r="L73" s="141" t="s">
        <v>493</v>
      </c>
    </row>
    <row r="74" spans="1:12" ht="26.4" x14ac:dyDescent="0.25">
      <c r="A74" s="141">
        <v>111</v>
      </c>
      <c r="B74" s="141" t="s">
        <v>145</v>
      </c>
      <c r="C74" s="141" t="s">
        <v>278</v>
      </c>
      <c r="D74" s="141"/>
      <c r="E74" s="142"/>
      <c r="F74" s="142"/>
      <c r="G74" s="141" t="s">
        <v>505</v>
      </c>
      <c r="H74" s="141" t="s">
        <v>490</v>
      </c>
      <c r="I74" s="141" t="s">
        <v>491</v>
      </c>
      <c r="J74" s="141"/>
      <c r="K74" s="141" t="s">
        <v>506</v>
      </c>
      <c r="L74" s="141" t="s">
        <v>493</v>
      </c>
    </row>
    <row r="75" spans="1:12" ht="39.6" x14ac:dyDescent="0.25">
      <c r="A75" s="141">
        <v>112</v>
      </c>
      <c r="B75" s="141" t="s">
        <v>280</v>
      </c>
      <c r="C75" s="141" t="s">
        <v>279</v>
      </c>
      <c r="D75" s="141"/>
      <c r="E75" s="142"/>
      <c r="F75" s="142"/>
      <c r="G75" s="141" t="s">
        <v>503</v>
      </c>
      <c r="H75" s="141" t="s">
        <v>490</v>
      </c>
      <c r="I75" s="141" t="s">
        <v>491</v>
      </c>
      <c r="J75" s="141"/>
      <c r="K75" s="141" t="s">
        <v>507</v>
      </c>
      <c r="L75" s="141" t="s">
        <v>493</v>
      </c>
    </row>
    <row r="76" spans="1:12" ht="26.4" x14ac:dyDescent="0.25">
      <c r="A76" s="141">
        <v>113</v>
      </c>
      <c r="B76" s="141" t="s">
        <v>282</v>
      </c>
      <c r="C76" s="141" t="s">
        <v>281</v>
      </c>
      <c r="D76" s="141"/>
      <c r="E76" s="142"/>
      <c r="F76" s="142"/>
      <c r="G76" s="141" t="s">
        <v>503</v>
      </c>
      <c r="H76" s="141" t="s">
        <v>490</v>
      </c>
      <c r="I76" s="141" t="s">
        <v>491</v>
      </c>
      <c r="J76" s="141"/>
      <c r="K76" s="141" t="s">
        <v>508</v>
      </c>
      <c r="L76" s="141" t="s">
        <v>493</v>
      </c>
    </row>
    <row r="77" spans="1:12" ht="52.8" x14ac:dyDescent="0.25">
      <c r="A77" s="141">
        <v>117</v>
      </c>
      <c r="B77" s="141" t="s">
        <v>152</v>
      </c>
      <c r="C77" s="141" t="s">
        <v>286</v>
      </c>
      <c r="D77" s="141"/>
      <c r="E77" s="142"/>
      <c r="F77" s="142"/>
      <c r="G77" s="141" t="s">
        <v>494</v>
      </c>
      <c r="H77" s="141" t="s">
        <v>490</v>
      </c>
      <c r="I77" s="141" t="s">
        <v>491</v>
      </c>
      <c r="J77" s="141"/>
      <c r="K77" s="141" t="s">
        <v>509</v>
      </c>
      <c r="L77" s="141" t="s">
        <v>493</v>
      </c>
    </row>
    <row r="78" spans="1:12" ht="39.6" x14ac:dyDescent="0.25">
      <c r="A78" s="141">
        <v>109</v>
      </c>
      <c r="B78" s="141" t="s">
        <v>274</v>
      </c>
      <c r="C78" s="141" t="s">
        <v>273</v>
      </c>
      <c r="D78" s="141"/>
      <c r="E78" s="142"/>
      <c r="F78" s="142"/>
      <c r="G78" s="141" t="s">
        <v>510</v>
      </c>
      <c r="H78" s="141" t="s">
        <v>490</v>
      </c>
      <c r="I78" s="141" t="s">
        <v>511</v>
      </c>
      <c r="J78" s="141"/>
      <c r="K78" s="141" t="s">
        <v>512</v>
      </c>
      <c r="L78" s="141" t="s">
        <v>493</v>
      </c>
    </row>
    <row r="79" spans="1:12" x14ac:dyDescent="0.25">
      <c r="A79" s="141">
        <v>115</v>
      </c>
      <c r="B79" s="141" t="s">
        <v>284</v>
      </c>
      <c r="C79" s="141" t="s">
        <v>283</v>
      </c>
      <c r="D79" s="141"/>
      <c r="E79" s="142"/>
      <c r="F79" s="142"/>
      <c r="G79" s="141" t="s">
        <v>510</v>
      </c>
      <c r="H79" s="141" t="s">
        <v>490</v>
      </c>
      <c r="I79" s="141" t="s">
        <v>511</v>
      </c>
      <c r="J79" s="141"/>
      <c r="K79" s="141" t="s">
        <v>512</v>
      </c>
      <c r="L79" s="141" t="s">
        <v>493</v>
      </c>
    </row>
    <row r="80" spans="1:12" ht="26.4" x14ac:dyDescent="0.25">
      <c r="A80" s="141">
        <v>119</v>
      </c>
      <c r="B80" s="141" t="s">
        <v>288</v>
      </c>
      <c r="C80" s="141" t="s">
        <v>287</v>
      </c>
      <c r="D80" s="141"/>
      <c r="E80" s="142"/>
      <c r="F80" s="142"/>
      <c r="G80" s="141" t="s">
        <v>510</v>
      </c>
      <c r="H80" s="141" t="s">
        <v>490</v>
      </c>
      <c r="I80" s="141" t="s">
        <v>511</v>
      </c>
      <c r="J80" s="141"/>
      <c r="K80" s="141" t="s">
        <v>512</v>
      </c>
      <c r="L80" s="141" t="s">
        <v>493</v>
      </c>
    </row>
    <row r="81" spans="1:12" x14ac:dyDescent="0.25">
      <c r="A81" s="141"/>
      <c r="B81" s="141"/>
      <c r="C81" s="141"/>
      <c r="D81" s="141"/>
      <c r="E81" s="142"/>
      <c r="F81" s="142"/>
      <c r="G81" s="141"/>
      <c r="H81" s="141"/>
      <c r="I81" s="141"/>
      <c r="J81" s="141"/>
      <c r="K81" s="141"/>
      <c r="L81" s="141"/>
    </row>
    <row r="82" spans="1:12" ht="26.4" x14ac:dyDescent="0.25">
      <c r="A82" s="144" t="s">
        <v>513</v>
      </c>
      <c r="B82" s="141"/>
      <c r="C82" s="141"/>
      <c r="D82" s="141"/>
      <c r="E82" s="142"/>
      <c r="F82" s="142"/>
      <c r="G82" s="141"/>
      <c r="H82" s="141"/>
      <c r="I82" s="141"/>
      <c r="J82" s="141"/>
      <c r="K82" s="141"/>
      <c r="L82" s="141"/>
    </row>
    <row r="83" spans="1:12" ht="79.2" x14ac:dyDescent="0.25">
      <c r="A83" s="145" t="s">
        <v>352</v>
      </c>
      <c r="B83" s="141" t="s">
        <v>514</v>
      </c>
      <c r="C83" s="141"/>
      <c r="D83" s="141"/>
      <c r="E83" s="142"/>
      <c r="F83" s="142"/>
      <c r="G83" s="141"/>
      <c r="H83" s="141"/>
      <c r="I83" s="141"/>
      <c r="J83" s="141"/>
      <c r="K83" s="141"/>
      <c r="L83" s="141"/>
    </row>
    <row r="84" spans="1:12" ht="79.2" x14ac:dyDescent="0.25">
      <c r="A84" s="145" t="s">
        <v>370</v>
      </c>
      <c r="B84" s="141" t="s">
        <v>515</v>
      </c>
      <c r="C84" s="141"/>
      <c r="D84" s="141"/>
      <c r="E84" s="142"/>
      <c r="F84" s="142"/>
      <c r="G84" s="141"/>
      <c r="H84" s="141"/>
      <c r="I84" s="141"/>
      <c r="J84" s="141"/>
      <c r="K84" s="141"/>
      <c r="L84" s="141"/>
    </row>
    <row r="85" spans="1:12" ht="66" x14ac:dyDescent="0.25">
      <c r="A85" s="145" t="s">
        <v>365</v>
      </c>
      <c r="B85" s="141" t="s">
        <v>516</v>
      </c>
      <c r="C85" s="141"/>
      <c r="D85" s="141"/>
      <c r="E85" s="142"/>
      <c r="F85" s="142"/>
      <c r="G85" s="141"/>
      <c r="H85" s="141"/>
      <c r="I85" s="141"/>
      <c r="J85" s="141"/>
      <c r="K85" s="141"/>
      <c r="L85" s="141"/>
    </row>
    <row r="86" spans="1:12" ht="92.4" x14ac:dyDescent="0.25">
      <c r="A86" s="145" t="s">
        <v>473</v>
      </c>
      <c r="B86" s="141" t="s">
        <v>517</v>
      </c>
      <c r="C86" s="141"/>
      <c r="D86" s="141"/>
      <c r="E86" s="142"/>
      <c r="F86" s="142"/>
      <c r="G86" s="141"/>
      <c r="H86" s="141"/>
      <c r="I86" s="141"/>
      <c r="J86" s="141"/>
      <c r="K86" s="141"/>
      <c r="L86" s="141"/>
    </row>
  </sheetData>
  <autoFilter ref="A1:L80" xr:uid="{00000000-0009-0000-0000-000001000000}"/>
  <hyperlinks>
    <hyperlink ref="J2" r:id="rId1" xr:uid="{31771B17-EDCF-4062-8356-CDB94FB94DE4}"/>
    <hyperlink ref="J3" r:id="rId2" xr:uid="{19E973DB-8EBF-4C3B-818A-D5F6F1689169}"/>
    <hyperlink ref="J4" r:id="rId3" xr:uid="{ED91E140-AC50-4415-BD15-3DC9F787519A}"/>
    <hyperlink ref="J5" r:id="rId4" xr:uid="{AD7C0FB7-CA2B-4EBF-9F04-B74543666795}"/>
    <hyperlink ref="J6" r:id="rId5" xr:uid="{BE765565-B591-4817-9367-0705AAC2ADD7}"/>
    <hyperlink ref="J7" r:id="rId6" xr:uid="{B3D814F3-3E41-4B22-85B6-9A4E3DF60DD6}"/>
    <hyperlink ref="J8" r:id="rId7" xr:uid="{4131C842-FD98-4EE7-8B1D-74C8316098B2}"/>
    <hyperlink ref="J9" r:id="rId8" xr:uid="{CA9641EC-740A-4195-A123-6F5F7D488874}"/>
    <hyperlink ref="J10" r:id="rId9" xr:uid="{C0CD4C7C-0B36-4A6E-BDB3-0AFD401B178E}"/>
    <hyperlink ref="J11" r:id="rId10" xr:uid="{2C820ABA-BC1C-4F46-9908-CA21572FF3AD}"/>
    <hyperlink ref="J12" r:id="rId11" xr:uid="{870DDCFF-F2C8-4C30-B15A-8E034C0FC55E}"/>
    <hyperlink ref="J13" r:id="rId12" xr:uid="{C9F89126-15C6-470D-9CFC-E02C31751473}"/>
    <hyperlink ref="J14" r:id="rId13" xr:uid="{55E81BB0-1557-474D-B194-9FA91254C7E4}"/>
    <hyperlink ref="J15" r:id="rId14" xr:uid="{119E8874-27F0-4112-94B1-4C22C58B16CB}"/>
    <hyperlink ref="J16" r:id="rId15" xr:uid="{B8F2D115-4A67-4B7B-9244-F7BF881B65BC}"/>
    <hyperlink ref="J17" r:id="rId16" xr:uid="{18B3B0E5-4C21-4559-8250-C1A73E61A568}"/>
    <hyperlink ref="J18" r:id="rId17" xr:uid="{F79F8B5A-0CF4-4BA7-A071-7FCD1CCF1AD9}"/>
    <hyperlink ref="J19" r:id="rId18" xr:uid="{260B5F62-E43A-47DC-B536-50288D3D3359}"/>
    <hyperlink ref="J20" r:id="rId19" xr:uid="{9FF03B26-8AF0-4C8C-A19F-E772D695BCA9}"/>
    <hyperlink ref="J21" r:id="rId20" xr:uid="{7AA81C4D-760A-4C22-BBAE-98AB4F8E8B8F}"/>
    <hyperlink ref="J22" r:id="rId21" xr:uid="{C42BAC50-8A27-4506-AECA-1C00982BFC61}"/>
    <hyperlink ref="J23" r:id="rId22" xr:uid="{CE3DFF77-9FB5-45A5-92A5-C43F204B1798}"/>
    <hyperlink ref="J24" r:id="rId23" xr:uid="{B15252F5-9359-42D4-BEA7-D904D075756F}"/>
    <hyperlink ref="J25" r:id="rId24" xr:uid="{A708147F-B83F-497D-B3FC-8B46B3D93F7A}"/>
    <hyperlink ref="J26" r:id="rId25" xr:uid="{6067BDD4-523F-47EA-B4F5-848C8A54E86C}"/>
    <hyperlink ref="J27" r:id="rId26" xr:uid="{9E7C2DDD-5D35-493C-BF14-C270DDB44B4A}"/>
    <hyperlink ref="J28" r:id="rId27" xr:uid="{D64B5626-C1D4-4E3C-A46B-BF426858AEF8}"/>
    <hyperlink ref="J29" r:id="rId28" xr:uid="{4AE6FDD9-BD05-4ADA-8A5A-478665CAF331}"/>
    <hyperlink ref="J30" r:id="rId29" xr:uid="{CF9D07DE-C68B-442E-AC5B-5C178F886766}"/>
    <hyperlink ref="J31" r:id="rId30" xr:uid="{ECD161EC-AC56-4510-B01F-BE745BA5FB72}"/>
    <hyperlink ref="J32" r:id="rId31" xr:uid="{764D6E53-466D-412D-A3A5-2C2C388ECA6C}"/>
    <hyperlink ref="J33" r:id="rId32" xr:uid="{46720BDC-23CF-4A7E-AF13-A1D5F4481ACA}"/>
    <hyperlink ref="J34" r:id="rId33" xr:uid="{3CC9BD17-EFA5-467D-BDE0-CB10F6240750}"/>
    <hyperlink ref="J35" r:id="rId34" xr:uid="{0160DB61-C6CF-4A3A-BC3B-AFA928549B5E}"/>
    <hyperlink ref="J36" r:id="rId35" xr:uid="{F78CDBC1-AC02-45F5-B049-D598DEAE0D9D}"/>
    <hyperlink ref="J37" r:id="rId36" xr:uid="{11989A91-EF9F-4E55-A8BC-699A6906709D}"/>
    <hyperlink ref="J38" r:id="rId37" xr:uid="{0745AFA6-C3A9-4FF6-AD3E-FD9A20C896FF}"/>
    <hyperlink ref="J39" r:id="rId38" xr:uid="{63EB6BDF-E5AC-4B84-AF0F-A3FF5E5D2F64}"/>
    <hyperlink ref="J40" r:id="rId39" xr:uid="{8C80D280-1F1D-4404-9AB7-2E444593A341}"/>
    <hyperlink ref="J41" r:id="rId40" xr:uid="{0754812E-FA8F-4C11-BB38-C87A318A28D6}"/>
    <hyperlink ref="J42" r:id="rId41" xr:uid="{1757C3D7-823E-4BBB-BCFD-FE5F7A940645}"/>
    <hyperlink ref="J43" r:id="rId42" xr:uid="{F140E6A2-7FB3-4668-BC5E-F7B8CD85A78A}"/>
    <hyperlink ref="J44" r:id="rId43" xr:uid="{9BA8D643-4549-410D-AA49-407A5F3247D2}"/>
    <hyperlink ref="J45" r:id="rId44" xr:uid="{0517FCBF-8B12-430E-B194-A49C1ACFF364}"/>
    <hyperlink ref="J46" r:id="rId45" xr:uid="{A6B100EA-7BB3-47F1-87AF-8087949C7DE1}"/>
    <hyperlink ref="J47" r:id="rId46" xr:uid="{F9CAC203-4280-4A91-AFE7-711F1BC9344D}"/>
    <hyperlink ref="J48" r:id="rId47" xr:uid="{4F275412-6E94-47F2-87B6-CF42EA13D226}"/>
    <hyperlink ref="J49" r:id="rId48" xr:uid="{9E26B274-E05B-4AC5-A2D8-C0FD8A273887}"/>
    <hyperlink ref="J50" r:id="rId49" xr:uid="{78150493-A2BF-42ED-86C4-7775C136E31F}"/>
    <hyperlink ref="J51" r:id="rId50" xr:uid="{FFE364C6-497C-4597-8037-3428DE079ABF}"/>
    <hyperlink ref="J52" r:id="rId51" xr:uid="{BDD26E5E-EEB6-497E-9696-9328D55DB9DA}"/>
    <hyperlink ref="J53" r:id="rId52" xr:uid="{4DF7E341-79C8-452E-8421-6BAFE6BD02E8}"/>
    <hyperlink ref="J54" r:id="rId53" xr:uid="{ACAE3452-1A63-4DF6-B32B-AE461A2A4F49}"/>
    <hyperlink ref="J55" r:id="rId54" xr:uid="{517E4EF2-7344-4906-94B2-BF1C71C83790}"/>
    <hyperlink ref="J56" r:id="rId55" xr:uid="{5487D985-14B7-422B-B6B1-4FFA4EBDC97D}"/>
    <hyperlink ref="J57" r:id="rId56" xr:uid="{ECB4BCDD-F3D0-4040-8628-901CB4B84660}"/>
    <hyperlink ref="J58" r:id="rId57" xr:uid="{9C230CA3-CDC7-43D8-BB06-60FB16A0AB72}"/>
    <hyperlink ref="J59" r:id="rId58" xr:uid="{A3164040-D571-40A6-8E58-A0468C334973}"/>
    <hyperlink ref="J60" r:id="rId59" xr:uid="{F1EC2D89-0E4E-4399-8CB2-871E55F754C3}"/>
    <hyperlink ref="J61" r:id="rId60" xr:uid="{83045EBB-B0D3-49DC-BE34-92503AD6B885}"/>
    <hyperlink ref="J62" r:id="rId61" xr:uid="{7148EDDC-F2B8-4428-9194-441C3BF74C30}"/>
    <hyperlink ref="J63" r:id="rId62" xr:uid="{CC16FC1D-4B44-4EAC-A8F1-DAC2B5C04AA0}"/>
    <hyperlink ref="J64" r:id="rId63" xr:uid="{81EAA7EB-13D8-4A4F-B04D-CA4986C759C2}"/>
    <hyperlink ref="J65" r:id="rId64" xr:uid="{D35D2D73-82ED-457A-BFFA-0F0912FA3DD4}"/>
    <hyperlink ref="J66" r:id="rId65" xr:uid="{F0807F51-A0C4-40B1-B1A6-F0A1F485251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3</vt:i4>
      </vt:variant>
    </vt:vector>
  </HeadingPairs>
  <TitlesOfParts>
    <vt:vector size="5" baseType="lpstr">
      <vt:lpstr>Monitoraggio PNRR</vt:lpstr>
      <vt:lpstr>coordinate</vt:lpstr>
      <vt:lpstr>'Monitoraggio PNRR'!Area_stampa</vt:lpstr>
      <vt:lpstr>'Monitoraggio PNRR'!Excel_BuiltIn__FilterDatabase</vt:lpstr>
      <vt:lpstr>'Monitoraggio PNRR'!Excel_BuiltIn_Print_Area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Davolio Raffaele</dc:creator>
  <cp:lastModifiedBy>Davolio Raffaele</cp:lastModifiedBy>
  <dcterms:created xsi:type="dcterms:W3CDTF">2026-09-26T07:09:25Z</dcterms:created>
  <dcterms:modified xsi:type="dcterms:W3CDTF">2026-10-22T14:21:35Z</dcterms:modified>
</cp:coreProperties>
</file>