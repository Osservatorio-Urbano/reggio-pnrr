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KPI Trasferimenti" sheetId="1" r:id="rId1"/>
    <sheet name="Monitoraggio PNRR" sheetId="2" r:id="rId2"/>
    <sheet name="coordinate" sheetId="3" r:id="rId3"/>
  </sheets>
  <definedNames>
    <definedName name="__xlfn_IFERROR">#N/A</definedName>
    <definedName name="Excel_BuiltIn__FilterDatabase" localSheetId="1">'Monitoraggio PNRR'!$B$1:$U$104</definedName>
    <definedName name="Excel_BuiltIn_Print_Area" localSheetId="1">'Monitoraggio PNRR'!$B$1:$U$47</definedName>
    <definedName name="_xlnm._FilterDatabase" localSheetId="1" hidden="1">'Monitoraggio PNRR'!B1:U65526</definedName>
    <definedName name="_xlnm.Print_Area" localSheetId="1">'Monitoraggio PNRR'!$A$1:$U$131</definedName>
    <definedName name="_xlnm._FilterDatabase" localSheetId="2" hidden="1">'coordinate'!A1:L80</definedName>
  </definedNames>
</workbook>
</file>

<file path=xl/comments2.xml><?xml version="1.0" encoding="utf-8"?>
<comments xmlns="http://schemas.openxmlformats.org/spreadsheetml/2006/main">
  <authors>
    <author>Raffaele Davolio</author>
    <author>OpenAI</author>
    <author>RADAR PNRR</author>
  </authors>
  <commentList>
    <comment ref="J3" authorId="0">
      <text>
        <t xml:space="preserve">Raffaele Davolio:
Source: italiamappe.it, https://www.italiamappe.it/stradario/reggio-nell'emilia/via-giuseppe-galliano/</t>
      </text>
    </comment>
    <comment ref="K3" authorId="0">
      <text>
        <t xml:space="preserve">Raffaele Davolio:
Source: italiamappe.it, https://www.italiamappe.it/stradario/reggio-nell'emilia/via-giuseppe-galliano/</t>
      </text>
    </comment>
    <comment ref="J4" authorId="0">
      <text>
        <t xml:space="preserve">Raffaele Davolio:
Source: italiamappe.it, https://www.italiamappe.it/stradario/reggio-nell'emilia/via-dante-alighieri/</t>
      </text>
    </comment>
    <comment ref="K4" authorId="0">
      <text>
        <t xml:space="preserve">Raffaele Davolio:
Source: italiamappe.it, https://www.italiamappe.it/stradario/reggio-nell'emilia/via-dante-alighieri/</t>
      </text>
    </comment>
    <comment ref="J5" authorId="0">
      <text>
        <t xml:space="preserve">Raffaele Davolio:
Source: nuove-strade.it, https://www.nuove-strade.it/emilia-romagna/reggio-nellemilia/via-jules-emile-massenet</t>
      </text>
    </comment>
    <comment ref="K5" authorId="0">
      <text>
        <t xml:space="preserve">Raffaele Davolio:
Source: nuove-strade.it, https://www.nuove-strade.it/emilia-romagna/reggio-nellemilia/via-jules-emile-massenet</t>
      </text>
    </comment>
    <comment ref="J6" authorId="0">
      <text>
        <t xml:space="preserve">Raffaele Davolio:
Source: italiamappe.it, https://www.italiamappe.it/stradario/reggio-nell'emilia/via-dante-alighieri/</t>
      </text>
    </comment>
    <comment ref="K6" authorId="0">
      <text>
        <t xml:space="preserve">Raffaele Davolio:
Source: italiamappe.it, https://www.italiamappe.it/stradario/reggio-nell'emilia/via-dante-alighieri/</t>
      </text>
    </comment>
    <comment ref="J7" authorId="1">
      <text>
        <t>Geolocalizzazione integrata. Tipo: Puntuale/area parco. Affidabilita: ALTA. Fonte/criterio: Centro rappresentativo Parco del Gelso; localizzazione coerente con area di progetto. Punto nel Parco del Gelso; intervento su area verde, non singolo edificio. URL: https://www.zampaconnect.com/area-cani/reggio-emilia/parco_del_gelso_42124_reggio_nellemilia_re</t>
      </text>
    </comment>
    <comment ref="K7" authorId="1">
      <text>
        <t>Geolocalizzazione integrata. Tipo: Puntuale/area parco. Affidabilita: ALTA. Fonte/criterio: Centro rappresentativo Parco del Gelso; localizzazione coerente con area di progetto. Punto nel Parco del Gelso; intervento su area verde, non singolo edificio. URL: https://www.zampaconnect.com/area-cani/reggio-emilia/parco_del_gelso_42124_reggio_nellemilia_re</t>
      </text>
    </comment>
    <comment ref="J8" authorId="0">
      <text>
        <t xml:space="preserve">Raffaele Davolio:
Source: italiamappe.it, https://www.italiamappe.it/stradario/reggio-nell'emilia/viale-isonzo/</t>
      </text>
    </comment>
    <comment ref="K8" authorId="0">
      <text>
        <t xml:space="preserve">Raffaele Davolio:
Source: italiamappe.it, https://www.italiamappe.it/stradario/reggio-nell'emilia/viale-isonzo/</t>
      </text>
    </comment>
    <comment ref="J10" authorId="1">
      <text>
        <t>Geolocalizzazione integrata. Tipo: Puntuale. Affidabilita: ALTA. Fonte/criterio: Piazzale Reverberi / ex Polveriera. Punto rappresentativo del Piazzale Reverberi/Bicilab. URL: https://www.openstreetmap.org/search?query=Piazzale%20Reverberi%20Reggio%20Emilia</t>
      </text>
    </comment>
    <comment ref="K10" authorId="1">
      <text>
        <t>Geolocalizzazione integrata. Tipo: Puntuale. Affidabilita: ALTA. Fonte/criterio: Piazzale Reverberi / ex Polveriera. Punto rappresentativo del Piazzale Reverberi/Bicilab. URL: https://www.openstreetmap.org/search?query=Piazzale%20Reverberi%20Reggio%20Emilia</t>
      </text>
    </comment>
    <comment ref="J11" authorId="1">
      <text>
        <t>Geolocalizzazione integrata. Tipo: Puntuale. Affidabilita: ALTA. Fonte/criterio: Ponte/passarella del Gattaglio sul Crostolo. Coordinate del ponte/passerella in area Gattaglio. URL: https://mapcarta.com/search?q=Ponte%20del%20Gattaglio%20Reggio%20Emilia</t>
      </text>
    </comment>
    <comment ref="K11" authorId="1">
      <text>
        <t>Geolocalizzazione integrata. Tipo: Puntuale. Affidabilita: ALTA. Fonte/criterio: Ponte/passarella del Gattaglio sul Crostolo. Coordinate del ponte/passerella in area Gattaglio. URL: https://mapcarta.com/search?q=Ponte%20del%20Gattaglio%20Reggio%20Emilia</t>
      </text>
    </comment>
    <comment ref="J12" authorId="1">
      <text>
        <t>Geolocalizzazione integrata. Tipo: Rappresentativo lineare. Affidabilita: BASSA. Fonte/criterio: Centroide rappresentativo del tratto Cella-Cade-Gaida ricavato dalle localita attraversate. Intervento lineare esteso: usare in futuro una geometria LineString; il punto serve solo come marker CUP. URL: https://mapcarta.com/18708310</t>
      </text>
    </comment>
    <comment ref="K12" authorId="1">
      <text>
        <t>Geolocalizzazione integrata. Tipo: Rappresentativo lineare. Affidabilita: BASSA. Fonte/criterio: Centroide rappresentativo del tratto Cella-Cade-Gaida ricavato dalle localita attraversate. Intervento lineare esteso: usare in futuro una geometria LineString; il punto serve solo come marker CUP. URL: https://mapcarta.com/18708310</t>
      </text>
    </comment>
    <comment ref="L12" authorId="0">
      <text>
        <t xml:space="preserve">Raffaele Davolio:
Geolocalizzazione integrata. Tipo: Fine tracciato lineare. Affidabilità: MEDIA. Fonte/criterio: Via Guardanavona (estremo nord/Cadè del corridoio ciclabile via Emilia Cella-Cadè-Gaida). URL: https://www.nuove-strade.it/emilia-romagna/reggio-nellemilia/via-guardanavona</t>
      </text>
    </comment>
    <comment ref="J13" authorId="1">
      <text>
        <t>Geolocalizzazione integrata. Tipo: Rappresentativo su via. Affidabilita: MEDIA. Fonte/criterio: Centro della Via Don Giovanni Verita. Intervento lungo la via; coordinata rappresentativa, non civico puntuale. URL: https://distanzechilometriche.net/mappa/reggio-nell-emilia/via-don-giovanni-verita/</t>
      </text>
    </comment>
    <comment ref="K13" authorId="1">
      <text>
        <t>Geolocalizzazione integrata. Tipo: Rappresentativo su via. Affidabilita: MEDIA. Fonte/criterio: Centro della Via Don Giovanni Verita. Intervento lungo la via; coordinata rappresentativa, non civico puntuale. URL: https://distanzechilometriche.net/mappa/reggio-nell-emilia/via-don-giovanni-verita/</t>
      </text>
    </comment>
    <comment ref="J14" authorId="1">
      <text>
        <t>Geolocalizzazione integrata. Tipo: Rappresentativo lineare. Affidabilita: BASSA. Fonte/criterio: Punto medio approssimato tra Stazione FS/Piazzale Marconi e Piazza della Vittoria. Strada della Cultura: marker al centro del corridoio; preferibile una LineString nella mappa finale. URL: https://distanzechilometriche.net/mappa/reggio-nell-emilia/piazza-della-vittoria/</t>
      </text>
    </comment>
    <comment ref="K14" authorId="1">
      <text>
        <t>Geolocalizzazione integrata. Tipo: Rappresentativo lineare. Affidabilita: BASSA. Fonte/criterio: Punto medio approssimato tra Stazione FS/Piazzale Marconi e Piazza della Vittoria. Strada della Cultura: marker al centro del corridoio; preferibile una LineString nella mappa finale. URL: https://distanzechilometriche.net/mappa/reggio-nell-emilia/piazza-della-vittoria/</t>
      </text>
    </comment>
    <comment ref="J15" authorId="1">
      <text>
        <t>Geolocalizzazione integrata. Tipo: Puntuale/area. Affidabilita: ALTA. Fonte/criterio: Area Orti di Santa Chiara tra Teatro Cavallerizza e Spazio Gerra. Punto centrale dell area descritta dal Comune tra Cavallerizza e Spazio Gerra. URL: https://www.comune.reggioemilia.it/argomenti/attuazione-misure-pnrr/missione-5/pnrr-m5c2-i2-1-riqualificazione-e-rigenerazione-urbana-del-quadrante-nord-est-del-centro-storico-di-reggio-2013-riqualificazione-degli-orti-di-santa-chiara-1</t>
      </text>
    </comment>
    <comment ref="K15" authorId="1">
      <text>
        <t>Geolocalizzazione integrata. Tipo: Puntuale/area. Affidabilita: ALTA. Fonte/criterio: Area Orti di Santa Chiara tra Teatro Cavallerizza e Spazio Gerra. Punto centrale dell area descritta dal Comune tra Cavallerizza e Spazio Gerra. URL: https://www.comune.reggioemilia.it/argomenti/attuazione-misure-pnrr/missione-5/pnrr-m5c2-i2-1-riqualificazione-e-rigenerazione-urbana-del-quadrante-nord-est-del-centro-storico-di-reggio-2013-riqualificazione-degli-orti-di-santa-chiara-1</t>
      </text>
    </comment>
    <comment ref="J16" authorId="1">
      <text>
        <t>Geolocalizzazione integrata. Tipo: Rappresentativo su via. Affidabilita: MEDIA. Fonte/criterio: Centro della Via Inghilterra. Barriere antirumore lungo la via: punto rappresentativo. URL: https://www.italiamappe.it/stradario/reggio-nell%27emilia/</t>
      </text>
    </comment>
    <comment ref="K16" authorId="1">
      <text>
        <t>Geolocalizzazione integrata. Tipo: Rappresentativo su via. Affidabilita: MEDIA. Fonte/criterio: Centro della Via Inghilterra. Barriere antirumore lungo la via: punto rappresentativo. URL: https://www.italiamappe.it/stradario/reggio-nell%27emilia/</t>
      </text>
    </comment>
    <comment ref="J17" authorId="0">
      <text>
        <t xml:space="preserve">Raffaele Davolio:
Geolocalizzazione integrata. Tipo: Inizio tracciato lineare. Affidabilità: ALTA. Fonte/criterio: Via Roma (estremo ovest del sottopasso ciclopedonale alla ferrovia storica). URL: https://www.italiamappe.it/stradario/reggio-nell%27emilia/via-roma/</t>
      </text>
    </comment>
    <comment ref="L17" authorId="0">
      <text>
        <t xml:space="preserve">Raffaele Davolio:
Geolocalizzazione integrata. Tipo: Fine tracciato lineare. Affidabilità: MEDIA. Fonte/criterio: Viale Regina Margherita (estremo est del sottopasso). URL: https://www.tuttocitta.it/ristoranti/reggio-nell'emilia/viale-regina-margherita</t>
      </text>
    </comment>
    <comment ref="B18" authorId="0">
      <text>
        <t xml:space="preserve">Raffaele Davolio:
Geolocalizzazione integrata. Tipo: Fine tracciato lineare. Affidabilità: MEDIA. Fonte/criterio: Area Arena Campovolo/Via dell'Aeronautica (estremo nord del cavalcaferrovia verso il sistema dei parchi/Campovolo). URL: https://www.italiamappe.it/stradario/reggio-nell'emilia/via-dell'-aeronautica/</t>
      </text>
    </comment>
    <comment ref="J19" authorId="1">
      <text>
        <t>Geolocalizzazione integrata. Tipo: Rappresentativo su via. Affidabilita: MEDIA. Fonte/criterio: Centro della Via Compagnoni. Riqualificazione ex scuole nel quartiere Compagnoni; punto su via. URL: https://www.italiamappe.it/stradario/reggio-nell%27emilia/</t>
      </text>
    </comment>
    <comment ref="K19" authorId="1">
      <text>
        <t>Geolocalizzazione integrata. Tipo: Rappresentativo su via. Affidabilita: MEDIA. Fonte/criterio: Centro della Via Compagnoni. Riqualificazione ex scuole nel quartiere Compagnoni; punto su via. URL: https://www.italiamappe.it/stradario/reggio-nell%27emilia/</t>
      </text>
    </comment>
    <comment ref="Y19" authorId="2">
      <text>
        <t>CUP escluso esclusivamente dal calcolo del KPI aggregato AVANZAMENTO TRASFERIMENTI. Rimane nel dettaglio per trasparenza.</t>
      </text>
    </comment>
    <comment ref="J20" authorId="1">
      <text>
        <t>Geolocalizzazione integrata. Tipo: Puntuale/area parco. Affidabilita: MEDIA. Fonte/criterio: Area Campo di Marte tra Via Cellini e linea Reggio-Sassuolo. Punto rappresentativo dei parchi Campo di Marte 1 e 2 presso il sottopasso. URL: https://www.comune.reggioemilia.it/argomenti/attuazione-misure-pnrr</t>
      </text>
    </comment>
    <comment ref="K20" authorId="1">
      <text>
        <t>Geolocalizzazione integrata. Tipo: Puntuale/area parco. Affidabilita: MEDIA. Fonte/criterio: Area Campo di Marte tra Via Cellini e linea Reggio-Sassuolo. Punto rappresentativo dei parchi Campo di Marte 1 e 2 presso il sottopasso. URL: https://www.comune.reggioemilia.it/argomenti/attuazione-misure-pnrr</t>
      </text>
    </comment>
    <comment ref="Y20" authorId="2">
      <text>
        <t>CUP escluso esclusivamente dal calcolo del KPI aggregato AVANZAMENTO TRASFERIMENTI. Rimane nel dettaglio per trasparenza.</t>
      </text>
    </comment>
    <comment ref="J21" authorId="1">
      <text>
        <t>Geolocalizzazione integrata. Tipo: Rappresentativo opera. Affidabilita: MEDIA. Fonte/criterio: Asse Via Roma - Viale Regina Margherita in corrispondenza della ferrovia. Punto stimato sull asse del sottopasso; posizione rappresentativa dell opera. URL: https://www.comune.reggioemilia.it/argomenti/attuazione-misure-pnrr/progetti-stralciati-dal-pnrr/pnrr-m5c2-i2-1-riqualificazione-e-rigenerazione-urbana-del-quadrante-nord-est-del-centro-storico-di-reggio-2013-sottopasso-ciclopedonale-alla-ferrovia-storica-milano-bologna</t>
      </text>
    </comment>
    <comment ref="K21" authorId="1">
      <text>
        <t>Geolocalizzazione integrata. Tipo: Rappresentativo opera. Affidabilita: MEDIA. Fonte/criterio: Asse Via Roma - Viale Regina Margherita in corrispondenza della ferrovia. Punto stimato sull asse del sottopasso; posizione rappresentativa dell opera. URL: https://www.comune.reggioemilia.it/argomenti/attuazione-misure-pnrr/progetti-stralciati-dal-pnrr/pnrr-m5c2-i2-1-riqualificazione-e-rigenerazione-urbana-del-quadrante-nord-est-del-centro-storico-di-reggio-2013-sottopasso-ciclopedonale-alla-ferrovia-storica-milano-bologna</t>
      </text>
    </comment>
    <comment ref="Y21" authorId="2">
      <text>
        <t>CUP escluso esclusivamente dal calcolo del KPI aggregato AVANZAMENTO TRASFERIMENTI. Rimane nel dettaglio per trasparenza.</t>
      </text>
    </comment>
    <comment ref="J22" authorId="1">
      <text>
        <t>Geolocalizzazione integrata. Tipo: Rappresentativo opera. Affidabilita: MEDIA. Fonte/criterio: Circa 150 m a ovest della stazione Reggio Emilia San Lazzaro, come da descrizione progetto. Derivato dalla posizione della stazione e dalla distanza indicata nel progetto. URL: https://www.wikidata.org/wiki/Special:Search?search=Reggio%20Emilia%20San%20Lazzaro%20station</t>
      </text>
    </comment>
    <comment ref="K22" authorId="1">
      <text>
        <t>Geolocalizzazione integrata. Tipo: Rappresentativo opera. Affidabilita: MEDIA. Fonte/criterio: Circa 150 m a ovest della stazione Reggio Emilia San Lazzaro, come da descrizione progetto. Derivato dalla posizione della stazione e dalla distanza indicata nel progetto. URL: https://www.wikidata.org/wiki/Special:Search?search=Reggio%20Emilia%20San%20Lazzaro%20station</t>
      </text>
    </comment>
    <comment ref="Y22" authorId="2">
      <text>
        <t>CUP escluso esclusivamente dal calcolo del KPI aggregato AVANZAMENTO TRASFERIMENTI. Rimane nel dettaglio per trasparenza.</t>
      </text>
    </comment>
    <comment ref="J25" authorId="0">
      <text>
        <t xml:space="preserve">Raffaele Davolio:
Source: italiamappe.it, https://www.italiamappe.it/stradario/reggio-nell'emilia/via-domenico-francesco-cecati/</t>
      </text>
    </comment>
    <comment ref="K25" authorId="0">
      <text>
        <t xml:space="preserve">Raffaele Davolio:
Source: italiamappe.it, https://www.italiamappe.it/stradario/reggio-nell'emilia/via-domenico-francesco-cecati/</t>
      </text>
    </comment>
    <comment ref="J26" authorId="0">
      <text>
        <t xml:space="preserve">Raffaele Davolio:
Source: nuove-strade.it, https://www.nuove-strade.it/emilia-romagna/reggio-nellemilia/via-ghiarda</t>
      </text>
    </comment>
    <comment ref="K26" authorId="0">
      <text>
        <t xml:space="preserve">Raffaele Davolio:
Source: nuove-strade.it, https://www.nuove-strade.it/emilia-romagna/reggio-nellemilia/via-ghiarda</t>
      </text>
    </comment>
    <comment ref="J27" authorId="1">
      <text>
        <t>Geolocalizzazione integrata. Tipo: Rappresentativo su via. Affidabilita: MEDIA. Fonte/criterio: Via Lasagni, localita Bagno. Punto rappresentativo della via; verificare il civico 5/A in caso di uso tecnico di precisione. URL: https://www.italiamappe.it/stradario/reggio-nell%27emilia/</t>
      </text>
    </comment>
    <comment ref="K27" authorId="1">
      <text>
        <t>Geolocalizzazione integrata. Tipo: Rappresentativo su via. Affidabilita: MEDIA. Fonte/criterio: Via Lasagni, localita Bagno. Punto rappresentativo della via; verificare il civico 5/A in caso di uso tecnico di precisione. URL: https://www.italiamappe.it/stradario/reggio-nell%27emilia/</t>
      </text>
    </comment>
    <comment ref="J29" authorId="0">
      <text>
        <t xml:space="preserve">Raffaele Davolio:
Source: italiamappe.it, https://www.italiamappe.it/stradario/reggio-nell'emilia/via-pier-giacinto-terrachini/</t>
      </text>
    </comment>
    <comment ref="K29" authorId="0">
      <text>
        <t xml:space="preserve">Raffaele Davolio:
Source: italiamappe.it, https://www.italiamappe.it/stradario/reggio-nell'emilia/via-pier-giacinto-terrachini/</t>
      </text>
    </comment>
    <comment ref="J30" authorId="0">
      <text>
        <t xml:space="preserve">Raffaele Davolio:
Source: italiamappe.it, https://www.italiamappe.it/stradario/reggio-nell'emilia/via-emilia-all'ospizio/</t>
      </text>
    </comment>
    <comment ref="K30" authorId="0">
      <text>
        <t xml:space="preserve">Raffaele Davolio:
Source: italiamappe.it, https://www.italiamappe.it/stradario/reggio-nell'emilia/via-emilia-all'ospizio/</t>
      </text>
    </comment>
    <comment ref="J31" authorId="1">
      <text>
        <t>Geolocalizzazione integrata. Tipo: Puntuale. Affidabilita: ALTA. Fonte/criterio: Nido Sole, Via Caravaggio 2. Coordinate edificio/area scolastica. URL: https://www.comune.reggioemilia.it/argomenti/istituzione-scuole-e-nidi-dinfanzia</t>
      </text>
    </comment>
    <comment ref="K31" authorId="1">
      <text>
        <t>Geolocalizzazione integrata. Tipo: Puntuale. Affidabilita: ALTA. Fonte/criterio: Nido Sole, Via Caravaggio 2. Coordinate edificio/area scolastica. URL: https://www.comune.reggioemilia.it/argomenti/istituzione-scuole-e-nidi-dinfanzia</t>
      </text>
    </comment>
    <comment ref="J32" authorId="0">
      <text>
        <t xml:space="preserve">Raffaele Davolio:
Source: italiamappe.it, https://www.italiamappe.it/stradario/reggio-nell'emilia/via-domenico-francesco-cecati/</t>
      </text>
    </comment>
    <comment ref="K32" authorId="0">
      <text>
        <t xml:space="preserve">Raffaele Davolio:
Source: italiamappe.it, https://www.italiamappe.it/stradario/reggio-nell'emilia/via-domenico-francesco-cecati/</t>
      </text>
    </comment>
    <comment ref="J33" authorId="1">
      <text>
        <t>Geolocalizzazione integrata. Tipo: Puntuale stimato. Affidabilita: MEDIA. Fonte/criterio: Nido Peter Pan, Via Pradarena 14; posizione ricostruita da POI e viabilita circostante. Indirizzo ufficiale; coordinata ricostruita sull edificio/area del nido. URL: https://www.comune.reggioemilia.it/argomenti/istituzione-scuole-e-nidi-dinfanzia/nidi-dinfanzia/nidi-comunali-e-convenzionati/peterpan</t>
      </text>
    </comment>
    <comment ref="K33" authorId="1">
      <text>
        <t>Geolocalizzazione integrata. Tipo: Puntuale stimato. Affidabilita: MEDIA. Fonte/criterio: Nido Peter Pan, Via Pradarena 14; posizione ricostruita da POI e viabilita circostante. Indirizzo ufficiale; coordinata ricostruita sull edificio/area del nido. URL: https://www.comune.reggioemilia.it/argomenti/istituzione-scuole-e-nidi-dinfanzia/nidi-dinfanzia/nidi-comunali-e-convenzionati/peterpan</t>
      </text>
    </comment>
    <comment ref="J34" authorId="1">
      <text>
        <t>Geolocalizzazione integrata. Tipo: Puntuale stimato. Affidabilita: MEDIA. Fonte/criterio: Nido Genoeffa Cervi, Via Renato Fucini 1. POI del nido in prossimita del riferimento cartografico Casino Bacchi. URL: https://www.comune.reggioemilia.it/argomenti/istituzione-scuole-e-nidi-dinfanzia</t>
      </text>
    </comment>
    <comment ref="K34" authorId="1">
      <text>
        <t>Geolocalizzazione integrata. Tipo: Puntuale stimato. Affidabilita: MEDIA. Fonte/criterio: Nido Genoeffa Cervi, Via Renato Fucini 1. POI del nido in prossimita del riferimento cartografico Casino Bacchi. URL: https://www.comune.reggioemilia.it/argomenti/istituzione-scuole-e-nidi-dinfanzia</t>
      </text>
    </comment>
    <comment ref="J35" authorId="1">
      <text>
        <t>Geolocalizzazione integrata. Tipo: Rappresentativo su via. Affidabilita: MEDIA. Fonte/criterio: Polo Rivieri/Claudel, Via H. de Balzac 2. Indirizzo ufficiale; coordinata rappresentativa della via. URL: https://www.comune.reggioemilia.it/argomenti/istituzione-scuole-e-nidi-dinfanzia/nidi-scuole/rivieri</t>
      </text>
    </comment>
    <comment ref="K35" authorId="1">
      <text>
        <t>Geolocalizzazione integrata. Tipo: Rappresentativo su via. Affidabilita: MEDIA. Fonte/criterio: Polo Rivieri/Claudel, Via H. de Balzac 2. Indirizzo ufficiale; coordinata rappresentativa della via. URL: https://www.comune.reggioemilia.it/argomenti/istituzione-scuole-e-nidi-dinfanzia/nidi-scuole/rivieri</t>
      </text>
    </comment>
    <comment ref="J36" authorId="1">
      <text>
        <t>Geolocalizzazione integrata. Tipo: Puntuale. Affidabilita: ALTA. Fonte/criterio: Nido Nilde Iotti / Polo Agora, Via Fratelli Bandiera 12C. Coordinate pubblicate nel Censimento delle architetture contemporanee del Ministero della Cultura. URL: https://censimentoarchitetturecontemporanee.cultura.gov.it/scheda-opera?id=4862</t>
      </text>
    </comment>
    <comment ref="K36" authorId="1">
      <text>
        <t>Geolocalizzazione integrata. Tipo: Puntuale. Affidabilita: ALTA. Fonte/criterio: Nido Nilde Iotti / Polo Agora, Via Fratelli Bandiera 12C. Coordinate pubblicate nel Censimento delle architetture contemporanee del Ministero della Cultura. URL: https://censimentoarchitetturecontemporanee.cultura.gov.it/scheda-opera?id=4862</t>
      </text>
    </comment>
    <comment ref="J37" authorId="1">
      <text>
        <t>Geolocalizzazione integrata. Tipo: Puntuale/area parco. Affidabilita: ALTA. Fonte/criterio: Parco Nilde Iotti (gia Parco Ottavi). Punto rappresentativo dell area del Parco Ottavi/Nilde Iotti. URL: https://www.comune.reggioemilia.it/argomenti/mobilita/progetti/reggio-emilia-citta-dei-sentieri/i-sentieri/anello-alex-langer/documenti-allegati/punti-di-interesse.pdf</t>
      </text>
    </comment>
    <comment ref="K37" authorId="1">
      <text>
        <t>Geolocalizzazione integrata. Tipo: Puntuale/area parco. Affidabilita: ALTA. Fonte/criterio: Parco Nilde Iotti (gia Parco Ottavi). Punto rappresentativo dell area del Parco Ottavi/Nilde Iotti. URL: https://www.comune.reggioemilia.it/argomenti/mobilita/progetti/reggio-emilia-citta-dei-sentieri/i-sentieri/anello-alex-langer/documenti-allegati/punti-di-interesse.pdf</t>
      </text>
    </comment>
    <comment ref="J41" authorId="1">
      <text>
        <t>Geolocalizzazione integrata. Tipo: Puntuale. Affidabilita: ALTA. Fonte/criterio: Stadio Mirabello. Centro dello stadio; il civico pubblico ricorrente e Via Giacomo Matteotti 2. URL: https://mapcarta.com/search?q=Stadio%20Mirabello%20Reggio%20Emilia</t>
      </text>
    </comment>
    <comment ref="K41" authorId="1">
      <text>
        <t>Geolocalizzazione integrata. Tipo: Puntuale. Affidabilita: ALTA. Fonte/criterio: Stadio Mirabello. Centro dello stadio; il civico pubblico ricorrente e Via Giacomo Matteotti 2. URL: https://mapcarta.com/search?q=Stadio%20Mirabello%20Reggio%20Emilia</t>
      </text>
    </comment>
    <comment ref="J44" authorId="1">
      <text>
        <t>Geolocalizzazione integrata. Tipo: Rappresentativo lineare. Affidabilita: BASSA. Fonte/criterio: Punto medio rappresentativo del collegamento San Lazzaro-centro. Intervento ciclabile lineare: usare una LineString quando disponibile. URL: https://www.comune.reggioemilia.it/argomenti/mobilita</t>
      </text>
    </comment>
    <comment ref="K44" authorId="1">
      <text>
        <t>Geolocalizzazione integrata. Tipo: Rappresentativo lineare. Affidabilita: BASSA. Fonte/criterio: Punto medio rappresentativo del collegamento San Lazzaro-centro. Intervento ciclabile lineare: usare una LineString quando disponibile. URL: https://www.comune.reggioemilia.it/argomenti/mobilita</t>
      </text>
    </comment>
    <comment ref="L44" authorId="0">
      <text>
        <t xml:space="preserve">Raffaele Davolio:
Geolocalizzazione integrata. Tipo: Fine tracciato lineare. Affidabilità: BASSA. Fonte/criterio: Centro città (Piazza Prampolini, area via Cialdini) come estremo del completamento ciclovia 1/2 San Lazzaro-centro. Coordinata di centro città usata come approssimazione; via Cialdini non geocodificata puntualmente. URL: stima interna</t>
      </text>
    </comment>
    <comment ref="J45" authorId="1">
      <text>
        <t>Geolocalizzazione integrata. Tipo: Inizio tracciato lineare. Affidabilità: ALTA. Fonte/criterio: Stazione Reggio Emilia AV Mediopadana. URL: https://it.m.wikipedia.org/wiki/Stazione_di_Reggio_Emilia_AV_Mediopadana</t>
      </text>
    </comment>
    <comment ref="K45" authorId="1">
      <text>
        <t>Geolocalizzazione integrata. Tipo: Rappresentativo lineare. Affidabilita: BASSA. Fonte/criterio: Tratto nord presso Via Filangieri/Gramsci. Superciclabile estesa: marker rappresentativo del corridoio nord. URL: https://www.italiamappe.it/stradario/reggio-nell%27emilia/</t>
      </text>
    </comment>
    <comment ref="L45" authorId="0">
      <text>
        <t xml:space="preserve">Raffaele Davolio:
Geolocalizzazione integrata. Tipo: Fine tracciato lineare. Affidabilità: BASSA. Fonte/criterio: Confine comunale nord (area Filangieri/Gramsci), punto già usato come rappresentativo prima della separazione inizio/fine. URL: https://www.italiamappe.it/stradario/reggio-nell%27emilia/</t>
      </text>
    </comment>
    <comment ref="J46" authorId="1">
      <text>
        <t>Geolocalizzazione integrata. Tipo: Inizio tracciato lineare. Affidabilità: BASSA. Fonte/criterio: Frazione Rivalta (Reggio Emilia), circa 6 km a sud del centro città; nessuna coordinata puntuale pubblicata trovata, stima da distanza/direzione nota. URL: https://maps.apple.com/place?auid=14838136799671959618</t>
      </text>
    </comment>
    <comment ref="K46" authorId="1">
      <text>
        <t>Geolocalizzazione integrata. Tipo: Rappresentativo lineare. Affidabilita: BASSA. Fonte/criterio: Punto rappresentativo del corridoio Rivalta-Mancasale. Superciclabile molto estesa: marker di sintesi; preferibile geometria lineare. URL: https://www.comune.reggioemilia.it/argomenti/mobilita</t>
      </text>
    </comment>
    <comment ref="L46" authorId="0">
      <text>
        <t xml:space="preserve">Raffaele Davolio:
Geolocalizzazione integrata. Tipo: Fine tracciato lineare. Affidabilità: MEDIA. Fonte/criterio: Quartiere Mancasale. URL: https://www.italiamappe.it/stradario/reggio-nell'emilia/quartiere-mancasale/</t>
      </text>
    </comment>
    <comment ref="J50" authorId="1">
      <text>
        <t>Geolocalizzazione integrata. Tipo: Rappresentativo multi-sito. Affidabilita: MEDIA. Fonte/criterio: Uno dei due immobili del CUP: Via Brigata Reggio 30; l altro e Via Mazzini 6. CUP multisito. Il marker rappresenta Via Brigata Reggio 30; mantenere nota dei due immobili. URL: 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t>
      </text>
    </comment>
    <comment ref="K50" authorId="1">
      <text>
        <t>Geolocalizzazione integrata. Tipo: Rappresentativo multi-sito. Affidabilita: MEDIA. Fonte/criterio: Uno dei due immobili del CUP: Via Brigata Reggio 30; l altro e Via Mazzini 6. CUP multisito. Il marker rappresenta Via Brigata Reggio 30; mantenere nota dei due immobili. URL: 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t>
      </text>
    </comment>
    <comment ref="J52" authorId="1">
      <text>
        <t>Geolocalizzazione integrata. Tipo: Rappresentativo su via. Affidabilita: BASSA. Fonte/criterio: Via Dalmazia; riferimento cartografico prossimo al civico 85. Il riferimento disponibile e per Via Dalmazia 101; il civico 85 e prossimo ma va verificato per uso di precisione. URL: https://www.blia.it/in/96982-46178</t>
      </text>
    </comment>
    <comment ref="K52" authorId="1">
      <text>
        <t>Geolocalizzazione integrata. Tipo: Rappresentativo su via. Affidabilita: BASSA. Fonte/criterio: Via Dalmazia; riferimento cartografico prossimo al civico 85. Il riferimento disponibile e per Via Dalmazia 101; il civico 85 e prossimo ma va verificato per uso di precisione. URL: https://www.blia.it/in/96982-46178</t>
      </text>
    </comment>
    <comment ref="J53" authorId="1">
      <text>
        <t>Geolocalizzazione integrata. Tipo: Rappresentativo su via. Affidabilita: MEDIA. Fonte/criterio: Via John Fitzgerald Kennedy, area civici 15-17. Coordinate rappresentative del tratto di Via Kennedy; indirizzo 15-17 confermato da fonti pubbliche. URL: https://www.italiamappe.it/stradario/reggio-nell%27emilia/via-john-fitzgerald-kennedy/</t>
      </text>
    </comment>
    <comment ref="K53" authorId="1">
      <text>
        <t>Geolocalizzazione integrata. Tipo: Rappresentativo su via. Affidabilita: MEDIA. Fonte/criterio: Via John Fitzgerald Kennedy, area civici 15-17. Coordinate rappresentative del tratto di Via Kennedy; indirizzo 15-17 confermato da fonti pubbliche. URL: https://www.italiamappe.it/stradario/reggio-nell%27emilia/via-john-fitzgerald-kennedy/</t>
      </text>
    </comment>
    <comment ref="J56" authorId="1">
      <text>
        <t>Geolocalizzazione integrata. Tipo: Puntuale. Affidabilita: ALTA. Fonte/criterio: Palazzo dei Musei, Via Lazzaro Spallanzani 1. Coordinate del Palazzo dei Musei/edificio. URL: https://cultura.gov.it/luogo/palazzo-dei-musei-reggio-emilia</t>
      </text>
    </comment>
    <comment ref="K56" authorId="1">
      <text>
        <t>Geolocalizzazione integrata. Tipo: Puntuale. Affidabilita: ALTA. Fonte/criterio: Palazzo dei Musei, Via Lazzaro Spallanzani 1. Coordinate del Palazzo dei Musei/edificio. URL: https://cultura.gov.it/luogo/palazzo-dei-musei-reggio-emilia</t>
      </text>
    </comment>
    <comment ref="J57" authorId="1">
      <text>
        <t>Geolocalizzazione integrata. Tipo: Propagata per CUP. Affidabilita: ALTA. Fonte/criterio: Stesso CUP e stesso sito fisico della riga 56. Riga di spesa corrente collegata allo stesso CUP e al medesimo edificio. URL: https://cultura.gov.it/luogo/palazzo-dei-musei-reggio-emilia</t>
      </text>
    </comment>
    <comment ref="K57" authorId="1">
      <text>
        <t>Geolocalizzazione integrata. Tipo: Propagata per CUP. Affidabilita: ALTA. Fonte/criterio: Stesso CUP e stesso sito fisico della riga 56. Riga di spesa corrente collegata allo stesso CUP e al medesimo edificio. URL: https://cultura.gov.it/luogo/palazzo-dei-musei-reggio-emilia</t>
      </text>
    </comment>
    <comment ref="J63" authorId="0">
      <text>
        <t xml:space="preserve">Raffaele Davolio:
Source: italiamappe.it, https://www.italiamappe.it/stradario/reggio-nell'emilia/via-giuseppe-galliano/</t>
      </text>
    </comment>
    <comment ref="K63" authorId="0">
      <text>
        <t xml:space="preserve">Raffaele Davolio:
Source: italiamappe.it, https://www.italiamappe.it/stradario/reggio-nell'emilia/via-giuseppe-galliano/</t>
      </text>
    </comment>
    <comment ref="J64" authorId="1">
      <text>
        <t>Geolocalizzazione integrata. Tipo: Rappresentativo su via. Affidabilita: MEDIA. Fonte/criterio: Via Werter Asseverati / area ex GOLD. Punto rappresentativo lungo Via Asseverati; area produttiva est. URL: https://www.italiamappe.it/stradario/reggio-nell%27emilia/</t>
      </text>
    </comment>
    <comment ref="K64" authorId="1">
      <text>
        <t>Geolocalizzazione integrata. Tipo: Rappresentativo su via. Affidabilita: MEDIA. Fonte/criterio: Via Werter Asseverati / area ex GOLD. Punto rappresentativo lungo Via Asseverati; area produttiva est. URL: https://www.italiamappe.it/stradario/reggio-nell%27emilia/</t>
      </text>
    </comment>
    <comment ref="J67" authorId="1">
      <text>
        <t>Geolocalizzazione integrata. Tipo: Puntuale stimato. Affidabilita: MEDIA. Fonte/criterio: Nido Allende, Via Gattalupa 5. Indirizzo ufficiale; punto ricostruito dai civici adiacenti della stessa via. URL: https://www.provincia.re.it/</t>
      </text>
    </comment>
    <comment ref="K67" authorId="1">
      <text>
        <t>Geolocalizzazione integrata. Tipo: Puntuale stimato. Affidabilita: MEDIA. Fonte/criterio: Nido Allende, Via Gattalupa 5. Indirizzo ufficiale; punto ricostruito dai civici adiacenti della stessa via. URL: https://www.provincia.re.it/</t>
      </text>
    </comment>
    <comment ref="J68" authorId="1">
      <text>
        <t>Geolocalizzazione integrata. Tipo: Puntuale. Affidabilita: ALTA. Fonte/criterio: Nido Bellelli, Via G. Puccini 28. Coordinata associata al civico 28. URL: https://www.reteimprese.it/</t>
      </text>
    </comment>
    <comment ref="K68" authorId="1">
      <text>
        <t>Geolocalizzazione integrata. Tipo: Puntuale. Affidabilita: ALTA. Fonte/criterio: Nido Bellelli, Via G. Puccini 28. Coordinata associata al civico 28. URL: https://www.reteimprese.it/</t>
      </text>
    </comment>
    <comment ref="J69" authorId="1">
      <text>
        <t>Geolocalizzazione integrata. Tipo: Puntuale. Affidabilita: ALTA. Fonte/criterio: Nido scuola O. Sarzi, Via Guasco 10. Coordinate del civico/edificio. URL: https://www.blia.it/</t>
      </text>
    </comment>
    <comment ref="K69" authorId="1">
      <text>
        <t>Geolocalizzazione integrata. Tipo: Puntuale. Affidabilita: ALTA. Fonte/criterio: Nido scuola O. Sarzi, Via Guasco 10. Coordinate del civico/edificio. URL: https://www.blia.it/</t>
      </text>
    </comment>
    <comment ref="J70" authorId="1">
      <text>
        <t>Geolocalizzazione integrata. Tipo: Rappresentativo su via. Affidabilita: MEDIA. Fonte/criterio: Via Pinotti. Punto rappresentativo del ponte su Via Pinotti/tangenziale. URL: https://www.italiamappe.it/stradario/reggio-nell%27emilia/</t>
      </text>
    </comment>
    <comment ref="K70" authorId="1">
      <text>
        <t>Geolocalizzazione integrata. Tipo: Rappresentativo su via. Affidabilita: MEDIA. Fonte/criterio: Via Pinotti. Punto rappresentativo del ponte su Via Pinotti/tangenziale. URL: https://www.italiamappe.it/stradario/reggio-nell%27emilia/</t>
      </text>
    </comment>
    <comment ref="J71" authorId="1">
      <text>
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</text>
    </comment>
    <comment ref="K71" authorId="1">
      <text>
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</text>
    </comment>
    <comment ref="J72" authorId="1">
      <text>
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</text>
    </comment>
    <comment ref="K72" authorId="1">
      <text>
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</text>
    </comment>
    <comment ref="J73" authorId="1">
      <text>
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</text>
    </comment>
    <comment ref="K73" authorId="1">
      <text>
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</text>
    </comment>
    <comment ref="J74" authorId="1">
      <text>
        <t>Geolocalizzazione integrata. Tipo: Rappresentativo su via. Affidabilita: MEDIA. Fonte/criterio: Via Werter Asseverati. Punto rappresentativo del ponte/barriere lungo Via Asseverati. URL: https://www.italiamappe.it/stradario/reggio-nell%27emilia/</t>
      </text>
    </comment>
    <comment ref="K74" authorId="1">
      <text>
        <t>Geolocalizzazione integrata. Tipo: Rappresentativo su via. Affidabilita: MEDIA. Fonte/criterio: Via Werter Asseverati. Punto rappresentativo del ponte/barriere lungo Via Asseverati. URL: https://www.italiamappe.it/stradario/reggio-nell%27emilia/</t>
      </text>
    </comment>
    <comment ref="J75" authorId="1">
      <text>
        <t>Geolocalizzazione integrata. Tipo: Puntuale/area. Affidabilita: ALTA. Fonte/criterio: Via Karl Marx, riferimento cartografico da documentazione territoriale. Coordinate WGS84 pubblicate per punti di monitoraggio su Via Karl Marx; usate come riferimento dell opera. URL: https://www.slideshare.net/slideshow/cre02-presentazione-sia-rp-rev-b/40194553</t>
      </text>
    </comment>
    <comment ref="K75" authorId="1">
      <text>
        <t>Geolocalizzazione integrata. Tipo: Puntuale/area. Affidabilita: ALTA. Fonte/criterio: Via Karl Marx, riferimento cartografico da documentazione territoriale. Coordinate WGS84 pubblicate per punti di monitoraggio su Via Karl Marx; usate come riferimento dell opera. URL: https://www.slideshare.net/slideshow/cre02-presentazione-sia-rp-rev-b/40194553</t>
      </text>
    </comment>
    <comment ref="J78" authorId="1">
      <text>
        <t>Geolocalizzazione integrata. Tipo: Puntuale. Affidabilita: ALTA. Fonte/criterio: Scuola San Giovanni Bosco, Via Bismantova 23. Coordinate del civico/edificio scolastico. URL: https://www.comune.reggioemilia.it/</t>
      </text>
    </comment>
    <comment ref="K78" authorId="1">
      <text>
        <t>Geolocalizzazione integrata. Tipo: Puntuale. Affidabilita: ALTA. Fonte/criterio: Scuola San Giovanni Bosco, Via Bismantova 23. Coordinate del civico/edificio scolastico. URL: https://www.comune.reggioemilia.it/</t>
      </text>
    </comment>
    <comment ref="J82" authorId="1">
      <text>
        <t>Geolocalizzazione integrata. Tipo: Puntuale. Affidabilita: ALTA. Fonte/criterio: Centro Internazionale Loris Malaguzzi, Viale Ramazzini 72/A. Coordinate pubblicate in banca dati culturale; indirizzo confermato dal Comune. URL: https://censimentoarchitetturecontemporanee.cultura.gov.it/</t>
      </text>
    </comment>
    <comment ref="K82" authorId="1">
      <text>
        <t>Geolocalizzazione integrata. Tipo: Puntuale. Affidabilita: ALTA. Fonte/criterio: Centro Internazionale Loris Malaguzzi, Viale Ramazzini 72/A. Coordinate pubblicate in banca dati culturale; indirizzo confermato dal Comune. URL: https://censimentoarchitetturecontemporanee.cultura.gov.it/</t>
      </text>
    </comment>
    <comment ref="J83" authorId="1">
      <text>
        <t>Geolocalizzazione integrata. Tipo: Puntuale. Affidabilita: ALTA. Fonte/criterio: Centro Internazionale Loris Malaguzzi, Viale Ramazzini 72/A. Stesso edificio della riga 80. URL: https://censimentoarchitetturecontemporanee.cultura.gov.it/</t>
      </text>
    </comment>
    <comment ref="K83" authorId="1">
      <text>
        <t>Geolocalizzazione integrata. Tipo: Puntuale. Affidabilita: ALTA. Fonte/criterio: Centro Internazionale Loris Malaguzzi, Viale Ramazzini 72/A. Stesso edificio della riga 80. URL: https://censimentoarchitetturecontemporanee.cultura.gov.it/</t>
      </text>
    </comment>
    <comment ref="H86" authorId="1">
      <text>
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86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86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87" authorId="1">
      <text>
        <t>Termine massimo generale PA digitale 2026. Fonte: PA digitale 2026 / D. 39/2025 e D. 29/2026. Avviso App IO maggio 2024 finanziato; usato il termine massimo generale vigente. Eventuale proroga individuale va verificata in area riservata. URL: https://www.padigitale2026.gov.it/novita/notizie/aggiornamento-modalita-di-richiesta-proroga-per-i-progetti-finanziati-con-avvisi-a-lump-sum</t>
      </text>
    </comment>
    <comment ref="J87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87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88" authorId="1">
      <text>
        <t>Termine finale previsto specifico. Fonte: Comune di Reggio Emilia - monitoraggio PNRR. CUP verificato anche nel decreto di finanziamento PA digitale 2026.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88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88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89" authorId="1">
      <text>
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89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89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90" authorId="1">
      <text>
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90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90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91" authorId="1">
      <text>
        <t>Termine finale previsto specifico. Fonte: Comune di Reggio Emilia - monitoraggio PNRR. Scadenza specifica pubblicata nel monitoraggio comunale; coerente con il termine massimo generale PA digitale 2026 del 31/03/2026.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91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91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92" authorId="1">
      <text>
        <t>Termine finale previsto specifico. Fonte: Comune di Reggio Emilia - monitoraggio PNRR. Misura non trattata come avviso lump sum DTD; usato il termine specifico del monitoraggio comunale.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92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92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93" authorId="1">
      <text>
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93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93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94" authorId="1">
      <text>
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94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94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95" authorId="1">
      <text>
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95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95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96" authorId="1">
      <text>
        <t>Termine massimo generale PA digitale 2026. Fonte: PA digitale 2026 - FAQ ANNCSU / D. 39/2025. La FAQ ANNCSU conferma esplicitamente il termine massimo del 31/03/2026. URL: https://padigitale2026.gov.it/supporto/domande-frequenti/misure-e-avvisi/tempistiche-contrattuali-e-completamento-progetto</t>
      </text>
    </comment>
    <comment ref="J96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96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97" authorId="1">
      <text>
        <t>Termine finale previsto specifico. Fonte: Comune di Reggio Emilia - monitoraggio PNRR. Intervento Cybersecurity: termine specifico del monitoraggio comunale.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97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97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98" authorId="1">
      <text>
        <t>Termine aggiornato del progetto. Fonte: Comune di Reggio Emilia / Regione Emilia-Romagna. La pagina comunale aggiornata al 16/04/2026 indica: il progetto si conclude il 30 aprile 2026. URL: https://www.comune.reggioemilia.it/argomenti/attuazione-misure-pnrr/missione-1-1/pnrr-m1c1-2013-i1-7-digitale-facile-in-emilia-romagna-centri-di-facilitazione-digitale</t>
      </text>
    </comment>
    <comment ref="H99" authorId="1">
      <text>
        <t>Termine finale previsto specifico. Fonte: Comune di Reggio Emilia - monitoraggio PNRR. Scadenza specifica pubblicata per il progetto SUAP &amp; SUE. URL: https://www.comune.reggioemilia.it/amministrazione-trasparente/controlli-e-rilievi-sullamministrazione/organi-di-revisione-amministrativa-e-contabile/collegio-dei-revisori-verbale-n-44-parere-sul-bilancio-di-previsione-2025-27-pdf.pdf</t>
      </text>
    </comment>
    <comment ref="J99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99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100" authorId="1">
      <text>
        <t>Da verificare in area riservata. Fonte: PA digitale 2026 / Dipartimento Funzione Pubblica. Secondo avviso SUAP: il termine puntuale dipende dalla notifica/decreto associato alla candidatura. La data specifica del CUP non risulta esposta nei dati pubblici consultabili. URL: https://presidenza.governo.it/AmministrazioneTrasparente/Sovvenzioni/CriteriModalita/</t>
      </text>
    </comment>
    <comment ref="J100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100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101" authorId="1">
      <text>
        <t>Da verificare in area riservata. Fonte: PA digitale 2026 / Dipartimento Funzione Pubblica. Secondo avviso SUAP Enti Terzi: il termine puntuale dipende dalla notifica/decreto associato alla candidatura. La data specifica del CUP non risulta esposta nei dati pubblici consultabili. URL: https://presidenza.governo.it/AmministrazioneTrasparente/Sovvenzioni/CriteriModalita/</t>
      </text>
    </comment>
    <comment ref="J101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101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102" authorId="1">
      <text>
        <t>Termine calcolato da decreto. Fonte: Dipartimento Funzione Pubblica / PA digitale 2026. SUE: 120 giorni dalla pubblicazione del decreto di ammissione (14/11/2025). Data calcolata: 14/03/2026; verificare eventuale diversa data di notifica registrata in area riservata. URL: https://presidenza.governo.it/AmministrazioneTrasparente/Sovvenzioni/CriteriModalita/</t>
      </text>
    </comment>
    <comment ref="J102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102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103" authorId="1">
      <text>
        <t>Termine calcolato da decreto. Fonte: Dipartimento Funzione Pubblica / PA digitale 2026. Interoperabilita sistemi gestionali RU: 90 giorni dal decreto definitivo del 12/03/2026. Data calcolata: 10/06/2026; verificare data di notifica in area riservata se rilevante. URL: https://presidenza.governo.it/AmministrazioneTrasparente/Sovvenzioni/CriteriModalita/</t>
      </text>
    </comment>
    <comment ref="J103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K103" authorId="1">
      <text>
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</text>
    </comment>
    <comment ref="H104" authorId="1">
      <text>
        <t>Termine calcolato da decreto. Fonte: Dipartimento Funzione Pubblica / PA digitale 2026. SUAP &amp; SUE 2025: 270 giorni dalla pubblicazione del decreto di finanziamento del 18/04/2025. Data calcolata: 13/01/2026; verificare eventuale diversa data di notifica in area riservata. URL: https://presidenza.governo.it/AmministrazioneTrasparente/Sovvenzioni/CriteriModalita/</t>
      </text>
    </comment>
    <comment ref="J104" authorId="1">
      <text>
        <t>Geolocalizzazione integrata. Tipo: Convenzionale. Affidabilita: CONVENZIONALE. Fonte/criterio: Sede CUED/Sistemi Informativi, Piazza Pietro Scapinelli 2. Progetto SUAP/SUE digitale: sede convenzionale CUED, non sede fisica del progetto. URL: https://www.comune.reggioemilia.it/</t>
      </text>
    </comment>
    <comment ref="K104" authorId="1">
      <text>
        <t>Geolocalizzazione integrata. Tipo: Convenzionale. Affidabilita: CONVENZIONALE. Fonte/criterio: Sede CUED/Sistemi Informativi, Piazza Pietro Scapinelli 2. Progetto SUAP/SUE digitale: sede convenzionale CUED, non sede fisica del progetto. URL: https://www.comune.reggioemilia.it/</t>
      </text>
    </comment>
    <comment ref="J107" authorId="1">
      <text>
        <t>Geolocalizzazione integrata. Tipo: Puntuale. Affidabilita: ALTA. Fonte/criterio: SETA, Via del Chionso 50. Coordinate della sede/impianto SETA. URL: https://www.reteimprese.it/</t>
      </text>
    </comment>
    <comment ref="K107" authorId="1">
      <text>
        <t>Geolocalizzazione integrata. Tipo: Puntuale. Affidabilita: ALTA. Fonte/criterio: SETA, Via del Chionso 50. Coordinate della sede/impianto SETA. URL: https://www.reteimprese.it/</t>
      </text>
    </comment>
    <comment ref="J110" authorId="1">
      <text>
        <t>Geolocalizzazione integrata. Tipo: Rappresentativo area. Affidabilita: ALTA. Fonte/criterio: Piazzale Europa. Punto rappresentativo del Piazzale Europa. URL: https://www.distancesfrom.com/it/Piazzale-Europa-latitude-longitude-Piazzale-Europa-latitude-Piazzale-Europa-longitude/LatLongHistory/14034637.aspx</t>
      </text>
    </comment>
    <comment ref="K110" authorId="1">
      <text>
        <t>Geolocalizzazione integrata. Tipo: Rappresentativo area. Affidabilita: ALTA. Fonte/criterio: Piazzale Europa. Punto rappresentativo del Piazzale Europa. URL: https://www.distancesfrom.com/it/Piazzale-Europa-latitude-longitude-Piazzale-Europa-latitude-Piazzale-Europa-longitude/LatLongHistory/14034637.aspx</t>
      </text>
    </comment>
    <comment ref="J121" authorId="1">
      <text>
        <t>Geolocalizzazione integrata. Tipo: Propagata per CUP. Affidabilita: MEDIA. Fonte/criterio: Stesso CUP della riga 50; progetto multisito. Attivita corrente collegata allo stesso CUP; marker rappresentativo Via Brigata Reggio 30. URL: 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t>
      </text>
    </comment>
    <comment ref="K121" authorId="1">
      <text>
        <t>Geolocalizzazione integrata. Tipo: Propagata per CUP. Affidabilita: MEDIA. Fonte/criterio: Stesso CUP della riga 50; progetto multisito. Attivita corrente collegata allo stesso CUP; marker rappresentativo Via Brigata Reggio 30. URL: 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t>
      </text>
    </comment>
    <comment ref="J126" authorId="1">
      <text>
        <t>Geolocalizzazione integrata. Tipo: Propagata per CUP. Affidabilita: BASSA. Fonte/criterio: Stesso CUP della riga 52, immobile Via Dalmazia 85. Attivita corrente collegata al progetto fisico della riga 52. URL: https://www.blia.it/in/96982-46178</t>
      </text>
    </comment>
    <comment ref="K126" authorId="1">
      <text>
        <t>Geolocalizzazione integrata. Tipo: Propagata per CUP. Affidabilita: BASSA. Fonte/criterio: Stesso CUP della riga 52, immobile Via Dalmazia 85. Attivita corrente collegata al progetto fisico della riga 52. URL: https://www.blia.it/in/96982-46178</t>
      </text>
    </comment>
    <comment ref="J127" authorId="1">
      <text>
        <t>Geolocalizzazione integrata. Tipo: Propagata per CUP. Affidabilita: MEDIA. Fonte/criterio: Stesso CUP della riga 53, Via Kennedy 15-17. Attivita corrente collegata al progetto fisico della riga 53. URL: https://www.italiamappe.it/stradario/reggio-nell%27emilia/via-john-fitzgerald-kennedy/</t>
      </text>
    </comment>
    <comment ref="K127" authorId="1">
      <text>
        <t>Geolocalizzazione integrata. Tipo: Propagata per CUP. Affidabilita: MEDIA. Fonte/criterio: Stesso CUP della riga 53, Via Kennedy 15-17. Attivita corrente collegata al progetto fisico della riga 53. URL: https://www.italiamappe.it/stradario/reggio-nell%27emilia/via-john-fitzgerald-kennedy/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7">
    <numFmt numFmtId="56" formatCode="&quot;上午/下午 &quot;hh&quot;時&quot;mm&quot;分&quot;ss&quot;秒 &quot;"/>
    <numFmt numFmtId="164" formatCode="[$€-410]\ #,##0.00;[Red]\-[$€-410]\ #,##0.00"/>
    <numFmt numFmtId="165" formatCode="0.000000"/>
    <numFmt numFmtId="166" formatCode="0&quot;%&quot;"/>
    <numFmt numFmtId="167" formatCode="#,##0.00 &quot;€&quot;;[Red](#,##0.00 &quot;€&quot;);–"/>
    <numFmt numFmtId="168" formatCode="DD/MM/YYYY"/>
    <numFmt numFmtId="169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zampaconnect.com/area-cani/reggio-emilia/parco_del_gelso_42124_reggio_nellemilia_re" TargetMode="External"/><Relationship Id="rId2" Type="http://schemas.openxmlformats.org/officeDocument/2006/relationships/hyperlink" Target="https://www.openstreetmap.org/search?query=Piazzale%20Reverberi%20Reggio%20Emilia" TargetMode="External"/><Relationship Id="rId3" Type="http://schemas.openxmlformats.org/officeDocument/2006/relationships/hyperlink" Target="https://mapcarta.com/search?q=Ponte%20del%20Gattaglio%20Reggio%20Emilia" TargetMode="External"/><Relationship Id="rId4" Type="http://schemas.openxmlformats.org/officeDocument/2006/relationships/hyperlink" Target="https://mapcarta.com/18708310" TargetMode="External"/><Relationship Id="rId5" Type="http://schemas.openxmlformats.org/officeDocument/2006/relationships/hyperlink" Target="https://distanzechilometriche.net/mappa/reggio-nell-emilia/via-don-giovanni-verita/" TargetMode="External"/><Relationship Id="rId6" Type="http://schemas.openxmlformats.org/officeDocument/2006/relationships/hyperlink" Target="https://distanzechilometriche.net/mappa/reggio-nell-emilia/piazza-della-vittoria/" TargetMode="External"/><Relationship Id="rId7" Type="http://schemas.openxmlformats.org/officeDocument/2006/relationships/hyperlink" Target="https://www.comune.reggioemilia.it/argomenti/attuazione-misure-pnrr/missione-5/pnrr-m5c2-i2-1-riqualificazione-e-rigenerazione-urbana-del-quadrante-nord-est-del-centro-storico-di-reggio-2013-riqualificazione-degli-orti-di-santa-chiara-1" TargetMode="External"/><Relationship Id="rId8" Type="http://schemas.openxmlformats.org/officeDocument/2006/relationships/hyperlink" Target="https://www.italiamappe.it/stradario/reggio-nell%27emilia/" TargetMode="External"/><Relationship Id="rId9" Type="http://schemas.openxmlformats.org/officeDocument/2006/relationships/hyperlink" Target="https://www.italiamappe.it/stradario/reggio-nell%27emilia/" TargetMode="External"/><Relationship Id="rId10" Type="http://schemas.openxmlformats.org/officeDocument/2006/relationships/hyperlink" Target="https://www.comune.reggioemilia.it/argomenti/attuazione-misure-pnrr" TargetMode="External"/><Relationship Id="rId11" Type="http://schemas.openxmlformats.org/officeDocument/2006/relationships/hyperlink" Target="https://www.comune.reggioemilia.it/argomenti/attuazione-misure-pnrr/progetti-stralciati-dal-pnrr/pnrr-m5c2-i2-1-riqualificazione-e-rigenerazione-urbana-del-quadrante-nord-est-del-centro-storico-di-reggio-2013-sottopasso-ciclopedonale-alla-ferrovia-storica-milano-bologna" TargetMode="External"/><Relationship Id="rId12" Type="http://schemas.openxmlformats.org/officeDocument/2006/relationships/hyperlink" Target="https://www.wikidata.org/wiki/Special:Search?search=Reggio%20Emilia%20San%20Lazzaro%20station" TargetMode="External"/><Relationship Id="rId13" Type="http://schemas.openxmlformats.org/officeDocument/2006/relationships/hyperlink" Target="https://www.italiamappe.it/stradario/reggio-nell%27emilia/" TargetMode="External"/><Relationship Id="rId14" Type="http://schemas.openxmlformats.org/officeDocument/2006/relationships/hyperlink" Target="https://www.comune.reggioemilia.it/argomenti/istituzione-scuole-e-nidi-dinfanzia" TargetMode="External"/><Relationship Id="rId15" Type="http://schemas.openxmlformats.org/officeDocument/2006/relationships/hyperlink" Target="https://www.comune.reggioemilia.it/argomenti/istituzione-scuole-e-nidi-dinfanzia/nidi-dinfanzia/nidi-comunali-e-convenzionati/peterpan" TargetMode="External"/><Relationship Id="rId16" Type="http://schemas.openxmlformats.org/officeDocument/2006/relationships/hyperlink" Target="https://www.comune.reggioemilia.it/argomenti/istituzione-scuole-e-nidi-dinfanzia" TargetMode="External"/><Relationship Id="rId17" Type="http://schemas.openxmlformats.org/officeDocument/2006/relationships/hyperlink" Target="https://www.comune.reggioemilia.it/argomenti/istituzione-scuole-e-nidi-dinfanzia/nidi-scuole/rivieri" TargetMode="External"/><Relationship Id="rId18" Type="http://schemas.openxmlformats.org/officeDocument/2006/relationships/hyperlink" Target="https://censimentoarchitetturecontemporanee.cultura.gov.it/scheda-opera?id=4862" TargetMode="External"/><Relationship Id="rId19" Type="http://schemas.openxmlformats.org/officeDocument/2006/relationships/hyperlink" Target="https://www.comune.reggioemilia.it/argomenti/mobilita/progetti/reggio-emilia-citta-dei-sentieri/i-sentieri/anello-alex-langer/documenti-allegati/punti-di-interesse.pdf" TargetMode="External"/><Relationship Id="rId20" Type="http://schemas.openxmlformats.org/officeDocument/2006/relationships/hyperlink" Target="https://www.italiamappe.it/stradario/reggio-nell%27emilia/" TargetMode="External"/><Relationship Id="rId21" Type="http://schemas.openxmlformats.org/officeDocument/2006/relationships/hyperlink" Target="https://mapcarta.com/search?q=Stadio%20Mirabello%20Reggio%20Emilia" TargetMode="External"/><Relationship Id="rId22" Type="http://schemas.openxmlformats.org/officeDocument/2006/relationships/hyperlink" Target="https://www.comune.reggioemilia.it/argomenti/mobilita" TargetMode="External"/><Relationship Id="rId23" Type="http://schemas.openxmlformats.org/officeDocument/2006/relationships/hyperlink" Target="https://www.italiamappe.it/stradario/reggio-nell%27emilia/" TargetMode="External"/><Relationship Id="rId24" Type="http://schemas.openxmlformats.org/officeDocument/2006/relationships/hyperlink" Target="https://www.comune.reggioemilia.it/argomenti/mobilita" TargetMode="External"/><Relationship Id="rId25" Type="http://schemas.openxmlformats.org/officeDocument/2006/relationships/hyperlink" Target="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" TargetMode="External"/><Relationship Id="rId26" Type="http://schemas.openxmlformats.org/officeDocument/2006/relationships/hyperlink" Target="https://www.blia.it/in/96982-46178" TargetMode="External"/><Relationship Id="rId27" Type="http://schemas.openxmlformats.org/officeDocument/2006/relationships/hyperlink" Target="https://www.italiamappe.it/stradario/reggio-nell%27emilia/via-john-fitzgerald-kennedy/" TargetMode="External"/><Relationship Id="rId28" Type="http://schemas.openxmlformats.org/officeDocument/2006/relationships/hyperlink" Target="https://cultura.gov.it/luogo/palazzo-dei-musei-reggio-emilia" TargetMode="External"/><Relationship Id="rId29" Type="http://schemas.openxmlformats.org/officeDocument/2006/relationships/hyperlink" Target="https://cultura.gov.it/luogo/palazzo-dei-musei-reggio-emilia" TargetMode="External"/><Relationship Id="rId30" Type="http://schemas.openxmlformats.org/officeDocument/2006/relationships/hyperlink" Target="https://www.italiamappe.it/stradario/reggio-nell%27emilia/" TargetMode="External"/><Relationship Id="rId31" Type="http://schemas.openxmlformats.org/officeDocument/2006/relationships/hyperlink" Target="https://www.provincia.re.it/" TargetMode="External"/><Relationship Id="rId32" Type="http://schemas.openxmlformats.org/officeDocument/2006/relationships/hyperlink" Target="https://www.reteimprese.it/" TargetMode="External"/><Relationship Id="rId33" Type="http://schemas.openxmlformats.org/officeDocument/2006/relationships/hyperlink" Target="https://www.blia.it/" TargetMode="External"/><Relationship Id="rId34" Type="http://schemas.openxmlformats.org/officeDocument/2006/relationships/hyperlink" Target="https://www.italiamappe.it/stradario/reggio-nell%27emilia/" TargetMode="External"/><Relationship Id="rId35" Type="http://schemas.openxmlformats.org/officeDocument/2006/relationships/hyperlink" Target="https://www.mappepercorsi.it/genova-montecavolo-pianificatore-di-itinerario-google-google-map/" TargetMode="External"/><Relationship Id="rId36" Type="http://schemas.openxmlformats.org/officeDocument/2006/relationships/hyperlink" Target="https://www.mappepercorsi.it/genova-montecavolo-pianificatore-di-itinerario-google-google-map/" TargetMode="External"/><Relationship Id="rId37" Type="http://schemas.openxmlformats.org/officeDocument/2006/relationships/hyperlink" Target="https://www.mappepercorsi.it/genova-montecavolo-pianificatore-di-itinerario-google-google-map/" TargetMode="External"/><Relationship Id="rId38" Type="http://schemas.openxmlformats.org/officeDocument/2006/relationships/hyperlink" Target="https://www.italiamappe.it/stradario/reggio-nell%27emilia/" TargetMode="External"/><Relationship Id="rId39" Type="http://schemas.openxmlformats.org/officeDocument/2006/relationships/hyperlink" Target="https://www.slideshare.net/slideshow/cre02-presentazione-sia-rp-rev-b/40194553" TargetMode="External"/><Relationship Id="rId40" Type="http://schemas.openxmlformats.org/officeDocument/2006/relationships/hyperlink" Target="https://www.comune.reggioemilia.it/" TargetMode="External"/><Relationship Id="rId41" Type="http://schemas.openxmlformats.org/officeDocument/2006/relationships/hyperlink" Target="https://censimentoarchitetturecontemporanee.cultura.gov.it/" TargetMode="External"/><Relationship Id="rId42" Type="http://schemas.openxmlformats.org/officeDocument/2006/relationships/hyperlink" Target="https://censimentoarchitetturecontemporanee.cultura.gov.it/" TargetMode="External"/><Relationship Id="rId43" Type="http://schemas.openxmlformats.org/officeDocument/2006/relationships/hyperlink" Target="https://www.comune.reggioemilia.it/" TargetMode="External"/><Relationship Id="rId44" Type="http://schemas.openxmlformats.org/officeDocument/2006/relationships/hyperlink" Target="https://www.comune.reggioemilia.it/" TargetMode="External"/><Relationship Id="rId45" Type="http://schemas.openxmlformats.org/officeDocument/2006/relationships/hyperlink" Target="https://www.comune.reggioemilia.it/" TargetMode="External"/><Relationship Id="rId46" Type="http://schemas.openxmlformats.org/officeDocument/2006/relationships/hyperlink" Target="https://www.comune.reggioemilia.it/" TargetMode="External"/><Relationship Id="rId47" Type="http://schemas.openxmlformats.org/officeDocument/2006/relationships/hyperlink" Target="https://www.comune.reggioemilia.it/" TargetMode="External"/><Relationship Id="rId48" Type="http://schemas.openxmlformats.org/officeDocument/2006/relationships/hyperlink" Target="https://www.comune.reggioemilia.it/" TargetMode="External"/><Relationship Id="rId49" Type="http://schemas.openxmlformats.org/officeDocument/2006/relationships/hyperlink" Target="https://www.comune.reggioemilia.it/" TargetMode="External"/><Relationship Id="rId50" Type="http://schemas.openxmlformats.org/officeDocument/2006/relationships/hyperlink" Target="https://www.comune.reggioemilia.it/" TargetMode="External"/><Relationship Id="rId51" Type="http://schemas.openxmlformats.org/officeDocument/2006/relationships/hyperlink" Target="https://www.comune.reggioemilia.it/" TargetMode="External"/><Relationship Id="rId52" Type="http://schemas.openxmlformats.org/officeDocument/2006/relationships/hyperlink" Target="https://www.comune.reggioemilia.it/" TargetMode="External"/><Relationship Id="rId53" Type="http://schemas.openxmlformats.org/officeDocument/2006/relationships/hyperlink" Target="https://www.comune.reggioemilia.it/" TargetMode="External"/><Relationship Id="rId54" Type="http://schemas.openxmlformats.org/officeDocument/2006/relationships/hyperlink" Target="https://www.comune.reggioemilia.it/" TargetMode="External"/><Relationship Id="rId55" Type="http://schemas.openxmlformats.org/officeDocument/2006/relationships/hyperlink" Target="https://www.comune.reggioemilia.it/" TargetMode="External"/><Relationship Id="rId56" Type="http://schemas.openxmlformats.org/officeDocument/2006/relationships/hyperlink" Target="https://www.comune.reggioemilia.it/" TargetMode="External"/><Relationship Id="rId57" Type="http://schemas.openxmlformats.org/officeDocument/2006/relationships/hyperlink" Target="https://www.comune.reggioemilia.it/" TargetMode="External"/><Relationship Id="rId58" Type="http://schemas.openxmlformats.org/officeDocument/2006/relationships/hyperlink" Target="https://www.comune.reggioemilia.it/" TargetMode="External"/><Relationship Id="rId59" Type="http://schemas.openxmlformats.org/officeDocument/2006/relationships/hyperlink" Target="https://www.comune.reggioemilia.it/" TargetMode="External"/><Relationship Id="rId60" Type="http://schemas.openxmlformats.org/officeDocument/2006/relationships/hyperlink" Target="https://www.comune.reggioemilia.it/" TargetMode="External"/><Relationship Id="rId61" Type="http://schemas.openxmlformats.org/officeDocument/2006/relationships/hyperlink" Target="https://www.reteimprese.it/" TargetMode="External"/><Relationship Id="rId62" Type="http://schemas.openxmlformats.org/officeDocument/2006/relationships/hyperlink" Target="https://www.distancesfrom.com/it/Piazzale-Europa-latitude-longitude-Piazzale-Europa-latitude-Piazzale-Europa-longitude/LatLongHistory/14034637.aspx" TargetMode="External"/><Relationship Id="rId63" Type="http://schemas.openxmlformats.org/officeDocument/2006/relationships/hyperlink" Target="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" TargetMode="External"/><Relationship Id="rId64" Type="http://schemas.openxmlformats.org/officeDocument/2006/relationships/hyperlink" Target="https://www.blia.it/in/96982-46178" TargetMode="External"/><Relationship Id="rId65" Type="http://schemas.openxmlformats.org/officeDocument/2006/relationships/hyperlink" Target="https://www.italiamappe.it/stradario/reggio-nell%27emilia/via-john-fitzgerald-kenned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37"/>
  <sheetViews>
    <sheetView workbookViewId="0" rightToLeft="0"/>
  </sheetViews>
  <sheetData>
    <row r="1">
      <c r="A1" t="str">
        <v>RADAR PNRR  |  AVANZAMENTO TRASFERIMENTI</v>
      </c>
    </row>
    <row r="4">
      <c r="A4" t="str">
        <v>Indicatore: media semplice degli avanzamenti per CUP (senza i quattro CUP esclusi)</v>
      </c>
    </row>
    <row r="6">
      <c r="A6" t="str">
        <v>AVANZAMENTO TRASFERIMENTI</v>
      </c>
      <c r="B6">
        <f>IFERROR(AVERAGEIF('Monitoraggio PNRR'!Z2:Z254,1,'Monitoraggio PNRR'!Y2:Y254),0)</f>
        <v>0.8721597586101494</v>
      </c>
    </row>
    <row r="8">
      <c r="A8" t="str">
        <v>CUP inclusi con avanzamento</v>
      </c>
      <c r="B8">
        <f>COUNTIF('Monitoraggio PNRR'!Z2:Z254,1)</f>
        <v>74</v>
      </c>
    </row>
    <row r="9">
      <c r="A9" t="str">
        <v>CUP esclusi dal KPI</v>
      </c>
      <c r="B9">
        <v>4</v>
      </c>
    </row>
    <row r="10">
      <c r="A10" t="str">
        <v>CUP presenti nel database e nel file sorgente</v>
      </c>
      <c r="B10">
        <v>80</v>
      </c>
    </row>
    <row r="11">
      <c r="A11" t="str">
        <v>CUP RADAR senza corrispondenza</v>
      </c>
      <c r="B11">
        <v>10</v>
      </c>
    </row>
    <row r="13">
      <c r="A13" t="str">
        <v>Criterio</v>
      </c>
      <c r="B13" t="str">
        <v>Media aritmetica non ponderata delle percentuali di avanzamento per CUP</v>
      </c>
    </row>
    <row r="14">
      <c r="A14" t="str">
        <v>Esclusioni</v>
      </c>
      <c r="B14" t="str">
        <v>I quattro CUP restano visibili nel dettaglio ma sono esclusi dal KPI generale.</v>
      </c>
    </row>
    <row r="15">
      <c r="A15" t="str">
        <v>Lettura importi</v>
      </c>
      <c r="B15" t="str">
        <v>Erogato / richiesto è la denominazione originale del file sorgente: non implica che tutto il valore sia effettivamente incassato.</v>
      </c>
    </row>
    <row r="17">
      <c r="A17" t="str">
        <v>CUP ESCLUSI</v>
      </c>
    </row>
    <row r="18">
      <c r="A18" t="str">
        <v>J81B21004030005</v>
      </c>
      <c r="B18" t="str">
        <v>PNRR-M5C2-I2.1 Riqualificazione e ricucitura urbana dei quartieri Ospizio/San Lazzaro – nuovo cavalcaferrovia ciclopedonale tra il Campus San Lazzaro e il nuovo parco dello sport</v>
      </c>
    </row>
    <row r="19">
      <c r="A19" t="str">
        <v>J81B21004050005</v>
      </c>
      <c r="B19" t="str">
        <v>PNRR-M5C2-I2.1 Riqualificazione e rigenerazione urbana del quadrante nord-est del centro storico di Reggio – sottopasso ciclopedonale alla ferrovia storica Milano-Bologna</v>
      </c>
    </row>
    <row r="20">
      <c r="A20" t="str">
        <v>J81B21004290005</v>
      </c>
      <c r="B20" t="str">
        <v>PNRR-M5C2-I2.1 Quartiere Ospizio/San Lazzaro – nuovo sottopasso ciclopedonale nel parco Campo di Marte</v>
      </c>
    </row>
    <row r="21">
      <c r="A21" t="str">
        <v>J84E21002010005</v>
      </c>
      <c r="B21" t="str">
        <v>PNRR-M5C2-I2.1 Piano di Riqualificazione Urbana quartiere popolare Compagnoni – riqualificazione ex scuole Villaggio Catellani per nuovo centro sociale/sede AUSER</v>
      </c>
    </row>
    <row r="24">
      <c r="A24" t="str">
        <v>CUP senza abbinamento</v>
      </c>
    </row>
    <row r="25">
      <c r="A25" t="str">
        <v>J41J25001340006</v>
      </c>
      <c r="B25" t="str">
        <v>1.3.1  PIATTAFORMA DIGITALE NAZIONALE DATI ANNCSU – COMUNI</v>
      </c>
    </row>
    <row r="26">
      <c r="A26" t="str">
        <v>J81F26000280006</v>
      </c>
      <c r="B26" t="str">
        <v>2.2.3 DIGITALIZZAZIONE DELLE PROCEDURE SUAP 2 AVVISO</v>
      </c>
    </row>
    <row r="27">
      <c r="A27" t="str">
        <v>J81F26000290006</v>
      </c>
      <c r="B27" t="str">
        <v xml:space="preserve">2.2.3. DIGITALIZZAZIONE PROCEDURE SUAP ENTI TERZI 2 AVVISO </v>
      </c>
    </row>
    <row r="28">
      <c r="A28" t="str">
        <v>J41F25000630006</v>
      </c>
      <c r="B28" t="str">
        <v>2.2.3. DIGITALIZZAZIONE DELLE PROCEDURE SUE</v>
      </c>
    </row>
    <row r="29">
      <c r="A29" t="str">
        <v>J81C26000030006</v>
      </c>
      <c r="B29" t="str">
        <v>2.3.2 INTEROPERABILITA’ SISTEMI GESTIONALI RISORSE UMANE</v>
      </c>
    </row>
    <row r="30">
      <c r="A30" t="str">
        <v>H80J22000000001</v>
      </c>
      <c r="B30" t="str">
        <v>Rinnovo parco autobus regionale per il trasposto pubblico con veicoli a combustibili</v>
      </c>
    </row>
    <row r="31">
      <c r="A31" t="str">
        <v>J87H21000950005</v>
      </c>
      <c r="B31" t="str">
        <v>PNRR-M5C2-I2.3 PINQUA - Economia, lavoro e innovazione</v>
      </c>
    </row>
    <row r="32">
      <c r="A32" t="str">
        <v>J84H22000170001</v>
      </c>
      <c r="B32" t="str">
        <v>PNRR-M5C2-I1.1.1 Sostegno alle capacità genitoriali e prevenzione della vulnerabilità delle famiglie e dei bambini (PIPPI) (attività di PARTE CORRENTE)</v>
      </c>
    </row>
    <row r="33">
      <c r="A33" t="str">
        <v>J89G22000030001</v>
      </c>
      <c r="B33" t="str">
        <v xml:space="preserve">PNRR-M5C2-I1.1.3 Rafforzamento dei servizi sociali domiciliari per garantire la dimissione anticipata assistita e prevenire l’ospedalizzazione (attività di PARTE CORRENTE) </v>
      </c>
    </row>
    <row r="34">
      <c r="A34" t="str">
        <v>J84I22000010001</v>
      </c>
      <c r="B34" t="str">
        <v>PNRR-M5C2-I1.1.4 Rafforzamento dei servizi sociali e prevenzione del fenomeno del burn out tra gli operatori (attività di PARTE CORRENTE)</v>
      </c>
    </row>
    <row r="36">
      <c r="A36" t="str">
        <v>Fonte</v>
      </c>
      <c r="B36" t="str">
        <v>RICHIESTA TRASFERIMENTI.xls  |  foglio Monitoraggio PNRR, abbinamento mediante CUP.</v>
      </c>
    </row>
    <row r="37">
      <c r="A37" t="str">
        <v>Data riferimento</v>
      </c>
      <c r="B37" t="str">
        <v>Data ultimo aggiornamento per CUP, quando riportata nella fonte.</v>
      </c>
    </row>
  </sheetData>
  <mergeCells count="10">
    <mergeCell ref="B21:F21"/>
    <mergeCell ref="B20:F20"/>
    <mergeCell ref="B15:F15"/>
    <mergeCell ref="A4:D4"/>
    <mergeCell ref="A1:F2"/>
    <mergeCell ref="B19:F19"/>
    <mergeCell ref="B36:F36"/>
    <mergeCell ref="B14:F14"/>
    <mergeCell ref="B18:F18"/>
    <mergeCell ref="B13:F13"/>
  </mergeCells>
  <pageMargins left="0.75" right="0.75" top="1" bottom="1" header="0.5" footer="0.5"/>
  <ignoredErrors>
    <ignoredError numberStoredAsText="1" sqref="A1:F3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MX254"/>
  <sheetViews>
    <sheetView workbookViewId="0" rightToLeft="0"/>
  </sheetViews>
  <sheetData>
    <row r="1" xml:space="preserve">
      <c r="A1" t="str">
        <v>N°</v>
      </c>
      <c r="B1" t="str">
        <v>CATEGORIA</v>
      </c>
      <c r="C1" t="str">
        <v>NOME PROGETTO</v>
      </c>
      <c r="D1" t="str">
        <v>CUP</v>
      </c>
      <c r="E1" t="str">
        <v>RUP</v>
      </c>
      <c r="F1" t="str">
        <v>RUP</v>
      </c>
      <c r="G1" t="str">
        <v>AVANZAMENTO LAVORI</v>
      </c>
      <c r="H1" t="str">
        <v>SCADENZA</v>
      </c>
      <c r="I1" t="str">
        <v>LOCALIZZAZIONE</v>
      </c>
      <c r="J1" t="str">
        <v>LATITUDINE</v>
      </c>
      <c r="K1" t="str">
        <v>LONGITUDINE</v>
      </c>
      <c r="L1" t="str">
        <v>LATITUDINE FINE</v>
      </c>
      <c r="M1" t="str">
        <v>LONGITUDINE FINE</v>
      </c>
      <c r="N1" t="str">
        <v>IMPORTO TOTALE</v>
      </c>
      <c r="O1" t="str">
        <v>FONDI COMUNALI</v>
      </c>
      <c r="P1" t="str">
        <v>IMPORTO AMMESSO</v>
      </c>
      <c r="Q1" t="str">
        <v>FOI</v>
      </c>
      <c r="R1" t="str" xml:space="preserve">
        <v xml:space="preserve">IMPEGNATO REGIS
(cig, imprevisti
 E incentivi)</v>
      </c>
      <c r="S1" t="str">
        <v>ECONOMIE</v>
      </c>
      <c r="T1" t="str">
        <v>SPESA TOTALE</v>
      </c>
      <c r="U1" t="str">
        <v>SPESA AMMESSA</v>
      </c>
      <c r="V1" t="str">
        <v>IMPORTO EROGATO / RICHIESTO</v>
      </c>
      <c r="W1" t="str">
        <v>IMPORTO RICHIEDIBILE</v>
      </c>
      <c r="X1" t="str">
        <v>ULTIMO AGGIORNAMENTO</v>
      </c>
      <c r="Y1" t="str" xml:space="preserve">
        <v xml:space="preserve">Avanzamento %
(rapporto richiesto/impegnato)</v>
      </c>
      <c r="Z1" t="str">
        <v>Inclusione KPI trasferimenti</v>
      </c>
    </row>
    <row r="2">
      <c r="B2" t="str">
        <v>MINISTERO DELL’INTERNO – RIGENERAZIONE URBANA</v>
      </c>
    </row>
    <row r="3">
      <c r="A3">
        <v>1</v>
      </c>
      <c r="B3" t="str">
        <v>Rigenerazione Urbana</v>
      </c>
      <c r="C3" t="str">
        <v xml:space="preserve"> PNRR-M5C2-I2.1 Sviluppo del PRU Gardenia – ristrutturazione ex palestra in via Galliano</v>
      </c>
      <c r="D3" t="str">
        <v>J87H21003240001</v>
      </c>
      <c r="E3" t="str">
        <v>SALVATORE FALBO</v>
      </c>
      <c r="F3" t="str">
        <v>SALVATORE FALBO</v>
      </c>
      <c r="G3">
        <v>100</v>
      </c>
      <c r="H3">
        <v>46203</v>
      </c>
      <c r="I3" t="str">
        <v>VIA GALLIANO</v>
      </c>
      <c r="J3">
        <v>44.704288</v>
      </c>
      <c r="K3">
        <v>10.6244</v>
      </c>
      <c r="N3">
        <v>1600000</v>
      </c>
      <c r="P3">
        <v>1160000</v>
      </c>
      <c r="Q3">
        <v>0</v>
      </c>
      <c r="R3">
        <v>1600000</v>
      </c>
      <c r="T3">
        <v>1256598.07</v>
      </c>
      <c r="U3">
        <v>904487.69</v>
      </c>
      <c r="W3">
        <v>225611.84</v>
      </c>
      <c r="X3">
        <v>46307</v>
      </c>
      <c r="Y3">
        <v>0.78537379375</v>
      </c>
      <c r="Z3">
        <v>1</v>
      </c>
    </row>
    <row r="4">
      <c r="A4">
        <v>2</v>
      </c>
      <c r="B4" t="str">
        <v>Rigenerazione Urbana</v>
      </c>
      <c r="C4" t="str">
        <v>PNRR-M5C2-I2.1 Riqualificazione e rigenerazione urbana del quadrante nord-est del centro storico di Reggio – riqualificazione dei Chiostri di San Domenico, secondo stralcio</v>
      </c>
      <c r="D4" t="str">
        <v>J84E21002050001</v>
      </c>
      <c r="E4" t="str">
        <v>MATTEO TANZI</v>
      </c>
      <c r="F4" t="str">
        <v>MATTEO TANZI</v>
      </c>
      <c r="G4">
        <v>100</v>
      </c>
      <c r="H4">
        <v>46203</v>
      </c>
      <c r="I4" t="str">
        <v>VIA ALIGHIERI</v>
      </c>
      <c r="J4">
        <v>44.700272</v>
      </c>
      <c r="K4">
        <v>10.6332</v>
      </c>
      <c r="N4">
        <v>300000</v>
      </c>
      <c r="P4">
        <v>290000</v>
      </c>
      <c r="Q4">
        <v>0</v>
      </c>
      <c r="R4">
        <v>258422.09</v>
      </c>
      <c r="S4">
        <v>41577.91</v>
      </c>
      <c r="T4">
        <v>253925.38</v>
      </c>
      <c r="U4">
        <v>245461.21</v>
      </c>
      <c r="Y4">
        <v>1</v>
      </c>
      <c r="Z4">
        <v>1</v>
      </c>
    </row>
    <row r="5">
      <c r="A5">
        <v>3</v>
      </c>
      <c r="B5" t="str">
        <v>Rigenerazione Urbana</v>
      </c>
      <c r="C5" t="str">
        <v>PNRR-M5C2-I2.1 Quartiere Regina Pacis/Orologio - Riqualificazione delle attrezzature collettive di quartiere – intervento straordinario sul Teatro dell’Orologio</v>
      </c>
      <c r="D5" t="str">
        <v>J84E21002030001</v>
      </c>
      <c r="E5" t="str">
        <v>GIORGIA LOMBARDINI</v>
      </c>
      <c r="F5" t="str">
        <v>SALVATORE FALBO</v>
      </c>
      <c r="G5">
        <v>100</v>
      </c>
      <c r="H5">
        <v>46203</v>
      </c>
      <c r="I5" t="str">
        <v>VIA MASSENET</v>
      </c>
      <c r="J5">
        <v>44.6984251</v>
      </c>
      <c r="K5">
        <v>10.6066718</v>
      </c>
      <c r="N5">
        <v>950000</v>
      </c>
      <c r="P5">
        <v>920000</v>
      </c>
      <c r="Q5">
        <v>0</v>
      </c>
      <c r="R5">
        <v>950000</v>
      </c>
      <c r="S5">
        <v>0</v>
      </c>
      <c r="T5">
        <v>939302.35</v>
      </c>
      <c r="U5">
        <v>909375.75</v>
      </c>
      <c r="Y5">
        <v>0.9887393157894736</v>
      </c>
      <c r="Z5">
        <v>1</v>
      </c>
    </row>
    <row r="6">
      <c r="A6">
        <v>4</v>
      </c>
      <c r="B6" t="str">
        <v>Rigenerazione Urbana</v>
      </c>
      <c r="C6" t="str">
        <v>PNRR-M5C2-I2.1 Riqualificazione e rigenerazione urbana del quadrante nord-est del centro storico di Reggio – riqualificazione dei Chiostri di San Domenico, primo stralcio</v>
      </c>
      <c r="D6" t="str">
        <v>J84E21002040001</v>
      </c>
      <c r="E6" t="str">
        <v>MATTEO TANZI</v>
      </c>
      <c r="F6" t="str">
        <v>MATTEO TANZI</v>
      </c>
      <c r="G6">
        <v>100</v>
      </c>
      <c r="H6">
        <v>46203</v>
      </c>
      <c r="I6" t="str">
        <v>VIA ALIGHIERI</v>
      </c>
      <c r="J6">
        <v>44.700272</v>
      </c>
      <c r="K6">
        <v>10.6332</v>
      </c>
      <c r="N6">
        <v>350000</v>
      </c>
      <c r="P6">
        <v>350000</v>
      </c>
      <c r="Q6">
        <v>0</v>
      </c>
      <c r="R6">
        <v>270205.03</v>
      </c>
      <c r="T6">
        <v>265367.54</v>
      </c>
      <c r="U6">
        <v>265367.54</v>
      </c>
      <c r="Y6">
        <v>1</v>
      </c>
      <c r="Z6">
        <v>1</v>
      </c>
    </row>
    <row r="7" xml:space="preserve">
      <c r="A7">
        <v>5</v>
      </c>
      <c r="B7" t="str">
        <v>Verde Pubblico</v>
      </c>
      <c r="C7" t="str">
        <v xml:space="preserve">PNRR-M5C2I2.1 QUARTIERE REGINA PACIS/OROLOGIO - RIQUALIFICAZIONE DEL PARCO DEL GELSO* </v>
      </c>
      <c r="D7" t="str">
        <v>J87H21003250005</v>
      </c>
      <c r="E7" t="str">
        <v>SAVERIO CIOCE</v>
      </c>
      <c r="F7" t="str">
        <v>SAVERIO CIOCE</v>
      </c>
      <c r="G7">
        <v>100</v>
      </c>
      <c r="H7">
        <v>46203</v>
      </c>
      <c r="I7" t="str" xml:space="preserve">
        <v xml:space="preserve">varie vie
L’area di progetto situata tra via Belgio e via Danimarca, occupa una piccola parte, lungo il confine nord, del Parco Nilde Iotti, </v>
      </c>
      <c r="J7">
        <v>44.6984</v>
      </c>
      <c r="K7">
        <v>10.6098</v>
      </c>
      <c r="N7">
        <v>200000</v>
      </c>
      <c r="P7">
        <v>190000</v>
      </c>
      <c r="Q7">
        <v>0</v>
      </c>
      <c r="R7">
        <v>195382.98</v>
      </c>
      <c r="S7">
        <v>4617.03</v>
      </c>
      <c r="T7">
        <v>195382.97</v>
      </c>
      <c r="U7">
        <v>188748.18</v>
      </c>
      <c r="W7">
        <v>78285.60999999999</v>
      </c>
      <c r="X7">
        <v>46233</v>
      </c>
      <c r="Y7">
        <v>1</v>
      </c>
      <c r="Z7">
        <v>1</v>
      </c>
    </row>
    <row r="8">
      <c r="A8">
        <v>6</v>
      </c>
      <c r="B8" t="str">
        <v>Verde Pubblico</v>
      </c>
      <c r="C8" t="str">
        <v>PNRR-M5C2-I2.1 Riqualificazione e rigenerazione urbana del quadrante nord-est del centro storico di Reggio – riqualificazione del Parco del Popolo</v>
      </c>
      <c r="D8" t="str">
        <v>J87H21003200005</v>
      </c>
      <c r="E8" t="str">
        <v>DANIELA PIVETTI</v>
      </c>
      <c r="F8" t="str">
        <v>DANIELA PIVETTI</v>
      </c>
      <c r="G8">
        <v>100</v>
      </c>
      <c r="H8">
        <v>46203</v>
      </c>
      <c r="I8" t="str">
        <v>VIA ISONZO</v>
      </c>
      <c r="J8">
        <v>44.705929</v>
      </c>
      <c r="K8">
        <v>10.632</v>
      </c>
      <c r="N8">
        <v>200000</v>
      </c>
      <c r="P8">
        <v>180000</v>
      </c>
      <c r="Q8">
        <v>0</v>
      </c>
      <c r="R8">
        <v>188963.71</v>
      </c>
      <c r="S8">
        <v>11036.29</v>
      </c>
      <c r="T8">
        <v>188963.71</v>
      </c>
      <c r="U8">
        <v>176707.73</v>
      </c>
      <c r="W8">
        <v>71364.93000000001</v>
      </c>
      <c r="X8">
        <v>46233</v>
      </c>
      <c r="Y8">
        <v>1</v>
      </c>
      <c r="Z8">
        <v>1</v>
      </c>
    </row>
    <row r="9">
      <c r="A9">
        <v>7</v>
      </c>
      <c r="B9" t="str">
        <v>Rigenerazione Urbana</v>
      </c>
      <c r="C9" t="str">
        <v xml:space="preserve">PNRR-M5C2-I2.1 Riqualificazione e rigenerazione urbana del quadrante nord-est del centro storico di Reggio – riqualificazione di piazza del Popol Giost  </v>
      </c>
      <c r="D9" t="str">
        <v>J87H21003260001</v>
      </c>
      <c r="E9" t="str">
        <v>URSULA MONTANARI</v>
      </c>
      <c r="F9" t="str">
        <v>URSULA MONTANARI</v>
      </c>
      <c r="G9">
        <v>100</v>
      </c>
      <c r="H9">
        <v>46203</v>
      </c>
      <c r="I9" t="str">
        <v>VIA ROMA</v>
      </c>
      <c r="J9">
        <v>44.6997</v>
      </c>
      <c r="K9">
        <v>10.6358</v>
      </c>
      <c r="N9">
        <v>600000</v>
      </c>
      <c r="P9">
        <v>500000</v>
      </c>
      <c r="Q9">
        <v>0</v>
      </c>
      <c r="R9">
        <v>594856.36</v>
      </c>
      <c r="T9">
        <v>574269.06</v>
      </c>
      <c r="U9">
        <v>478235.78</v>
      </c>
      <c r="Y9">
        <v>0.9653911408125485</v>
      </c>
      <c r="Z9">
        <v>1</v>
      </c>
    </row>
    <row r="10">
      <c r="A10">
        <v>8</v>
      </c>
      <c r="B10" t="str">
        <v>Ciclovie</v>
      </c>
      <c r="C10" t="str">
        <v>PNRR-M5C2-I2.1 Riqualificazione ex Polveriera quartiere Mirabello – realizzazione del Bicilab, progetto connesso al PUMS</v>
      </c>
      <c r="D10" t="str">
        <v>J84E21002020005</v>
      </c>
      <c r="E10" t="str">
        <v>PAOLA VENTURELLI</v>
      </c>
      <c r="F10" t="str">
        <v>PAOLA VENTURELLI</v>
      </c>
      <c r="G10">
        <v>100</v>
      </c>
      <c r="H10">
        <v>46203</v>
      </c>
      <c r="I10" t="str">
        <v>PIAZZALE REVERBERI</v>
      </c>
      <c r="J10">
        <v>44.692203</v>
      </c>
      <c r="K10">
        <v>10.642396</v>
      </c>
      <c r="N10">
        <v>1805000</v>
      </c>
      <c r="P10">
        <v>900000</v>
      </c>
      <c r="Q10">
        <v>0</v>
      </c>
      <c r="R10">
        <v>1805000</v>
      </c>
      <c r="T10">
        <v>1519592.33</v>
      </c>
      <c r="U10">
        <v>768227.19</v>
      </c>
      <c r="Y10">
        <v>0.841879407202216</v>
      </c>
      <c r="Z10">
        <v>1</v>
      </c>
    </row>
    <row r="11" xml:space="preserve">
      <c r="A11">
        <v>9</v>
      </c>
      <c r="B11" t="str">
        <v>Ciclovie</v>
      </c>
      <c r="C11" t="str">
        <v xml:space="preserve">PNRR-M5C2-I2.1 Progetto di rigenerazione urbana del quartiere Gattaglio - nuova passerella ciclopedonale sul torrente Crostolo  </v>
      </c>
      <c r="D11" t="str">
        <v>J81B21004260005</v>
      </c>
      <c r="E11" t="str">
        <v>CLAUDIA DI SANO</v>
      </c>
      <c r="F11" t="str">
        <v>CLAUDIA DI SANO</v>
      </c>
      <c r="G11">
        <v>100</v>
      </c>
      <c r="H11">
        <v>46203</v>
      </c>
      <c r="I11" t="str" xml:space="preserve">
        <v xml:space="preserve">varie vie
Passerella di collegamento tra il quartiere del Gattaglio ad est del torrente Crostolo con il quartiere Regina Pacis ad ovest</v>
      </c>
      <c r="J11">
        <v>44.69505</v>
      </c>
      <c r="K11">
        <v>10.61947</v>
      </c>
      <c r="N11">
        <v>1192000</v>
      </c>
      <c r="P11">
        <v>860000</v>
      </c>
      <c r="Q11">
        <v>86000</v>
      </c>
      <c r="R11">
        <v>1192000</v>
      </c>
      <c r="S11">
        <v>0</v>
      </c>
      <c r="T11">
        <v>1192000</v>
      </c>
      <c r="U11">
        <v>946000</v>
      </c>
      <c r="Y11">
        <v>1</v>
      </c>
      <c r="Z11">
        <v>1</v>
      </c>
    </row>
    <row r="12" xml:space="preserve">
      <c r="A12">
        <v>10</v>
      </c>
      <c r="B12" t="str">
        <v>Ciclovie</v>
      </c>
      <c r="C12" t="str">
        <v>PNRR-M5C2-I2.1 Riqualificazione e sicurezza della via Emilia a Pieve Modolena e Cella – completamento della ciclovia 1 ovest</v>
      </c>
      <c r="D12" t="str">
        <v>J81B21004040005</v>
      </c>
      <c r="E12" t="str">
        <v>URSULA MONTANARI</v>
      </c>
      <c r="F12" t="str">
        <v>URSULA MONTANARI</v>
      </c>
      <c r="G12">
        <v>100</v>
      </c>
      <c r="H12">
        <v>46203</v>
      </c>
      <c r="I12" t="str" xml:space="preserve">
        <v xml:space="preserve">varie vie
 via Emilia all’interno delle frazioni di Cella (pista ciclopedonale lungo il lato nord della via Emilia nel tratto compreso tra via Spartaco e via Guardanavona), Cadè  (Villa Cadè, adiacente al lato nord della via Emilia compreso tra via Quercioli e via Palladio) e Gaida (adiacente al lato nord della via Emilia tra via Casel di Ferro e la fine del centro abitato)</v>
      </c>
      <c r="J12">
        <v>44.736</v>
      </c>
      <c r="K12">
        <v>10.5261</v>
      </c>
      <c r="L12">
        <v>44.7217156</v>
      </c>
      <c r="M12">
        <v>10.5337966</v>
      </c>
      <c r="N12">
        <v>2640000</v>
      </c>
      <c r="P12">
        <v>2400000</v>
      </c>
      <c r="Q12">
        <v>240000</v>
      </c>
      <c r="R12">
        <v>2640000</v>
      </c>
      <c r="S12">
        <v>0</v>
      </c>
      <c r="T12">
        <v>2618157.59</v>
      </c>
      <c r="U12">
        <v>2618157.59</v>
      </c>
      <c r="V12">
        <v>2300457.07</v>
      </c>
      <c r="W12">
        <v>317700.52</v>
      </c>
      <c r="X12">
        <v>46307</v>
      </c>
      <c r="Y12">
        <v>0.9917263598484848</v>
      </c>
      <c r="Z12">
        <v>1</v>
      </c>
    </row>
    <row r="13">
      <c r="A13">
        <v>11</v>
      </c>
      <c r="B13" t="str">
        <v>Ciclovie</v>
      </c>
      <c r="C13" t="str">
        <v>PNRR-M5C2-I2.1 Riqualificazione urbana della Zona Annonaria e pista ciclabile su via Don Giovanni Verità</v>
      </c>
      <c r="D13" t="str">
        <v>J81B21004250001</v>
      </c>
      <c r="E13" t="str">
        <v>URSULA MONTANARI</v>
      </c>
      <c r="F13" t="str">
        <v>URSULA MONTANARI</v>
      </c>
      <c r="G13">
        <v>100</v>
      </c>
      <c r="H13">
        <v>46203</v>
      </c>
      <c r="I13" t="str">
        <v>VIA DON GIOVANNI VERITA'</v>
      </c>
      <c r="J13">
        <v>44.7143</v>
      </c>
      <c r="K13">
        <v>10.6105</v>
      </c>
      <c r="N13">
        <v>850000</v>
      </c>
      <c r="P13">
        <v>850000</v>
      </c>
      <c r="Q13">
        <v>0</v>
      </c>
      <c r="R13">
        <v>850000</v>
      </c>
      <c r="S13">
        <v>0</v>
      </c>
      <c r="T13">
        <v>830181.43</v>
      </c>
      <c r="U13">
        <v>830181.43</v>
      </c>
      <c r="W13">
        <v>15436.22000000009</v>
      </c>
      <c r="X13">
        <v>46233</v>
      </c>
      <c r="Y13">
        <v>0.9766840352941177</v>
      </c>
      <c r="Z13">
        <v>1</v>
      </c>
    </row>
    <row r="14" xml:space="preserve">
      <c r="A14">
        <v>12</v>
      </c>
      <c r="B14" t="str">
        <v>Rigenerazione Urbana</v>
      </c>
      <c r="C14" t="str">
        <v>PNRR-M5C2-I2.1 Riqualificazione e rigenerazione urbana del quadrante nord-est del centro storico di Reggio – strada della cultura</v>
      </c>
      <c r="D14" t="str">
        <v>J89J21004570001</v>
      </c>
      <c r="E14" t="str">
        <v>URSULA MONTANARI</v>
      </c>
      <c r="F14" t="str">
        <v>URSULA MONTANARI</v>
      </c>
      <c r="G14">
        <v>100</v>
      </c>
      <c r="H14">
        <v>46203</v>
      </c>
      <c r="I14" t="str" xml:space="preserve">
        <v xml:space="preserve">varie vie
 quadrante nord-est del centro storico che collega il piazzale Marconi, porta di accesso alla città dalla stazione ferroviaria, alla piazza della Vittoria</v>
      </c>
      <c r="J14">
        <v>44.69911</v>
      </c>
      <c r="K14">
        <v>10.63659</v>
      </c>
      <c r="N14">
        <v>30000</v>
      </c>
      <c r="P14">
        <v>30000</v>
      </c>
      <c r="Q14">
        <v>0</v>
      </c>
      <c r="R14">
        <v>29970.54</v>
      </c>
      <c r="T14">
        <v>28565.51</v>
      </c>
      <c r="U14">
        <v>28565.51</v>
      </c>
      <c r="Y14">
        <v>0.9531196301434675</v>
      </c>
      <c r="Z14">
        <v>1</v>
      </c>
    </row>
    <row r="15">
      <c r="A15">
        <v>13</v>
      </c>
      <c r="B15" t="str">
        <v>Verde Pubblico</v>
      </c>
      <c r="C15" t="str">
        <v>PNRR-M5C2-I2.1 Riqualificazione e rigenerazione urbana del quadrante nord-est del centro storico di Reggio – riqualificazione degli orti di Santa Chiara</v>
      </c>
      <c r="D15" t="str">
        <v>J83D21000920001</v>
      </c>
      <c r="E15" t="str">
        <v>URSULA MONTANARI</v>
      </c>
      <c r="F15" t="str">
        <v>URSULA MONTANARI</v>
      </c>
      <c r="G15" t="str">
        <v>rinuncia</v>
      </c>
      <c r="H15" t="str">
        <v>rinuncia</v>
      </c>
      <c r="N15">
        <v>80000</v>
      </c>
      <c r="P15">
        <v>70000</v>
      </c>
      <c r="Q15">
        <v>0</v>
      </c>
      <c r="T15">
        <v>0</v>
      </c>
      <c r="U15">
        <v>0</v>
      </c>
      <c r="Z15">
        <v>0</v>
      </c>
    </row>
    <row r="16">
      <c r="A16">
        <v>14</v>
      </c>
      <c r="B16" t="str">
        <v>Lavori Pubblici</v>
      </c>
      <c r="C16" t="str">
        <v>PNRR-M5C2-I2.1 Barriere antirumore in via Inghilterra</v>
      </c>
      <c r="D16" t="str">
        <v>J81B21004060001</v>
      </c>
      <c r="E16" t="str">
        <v>CLAUDIA DI SANO</v>
      </c>
      <c r="F16" t="str">
        <v>CLAUDIA DI SANO</v>
      </c>
      <c r="G16">
        <v>100</v>
      </c>
      <c r="H16">
        <v>46203</v>
      </c>
      <c r="I16" t="str">
        <v>VIA INGHILTERRA</v>
      </c>
      <c r="J16">
        <v>44.6811</v>
      </c>
      <c r="K16">
        <v>10.6052</v>
      </c>
      <c r="N16">
        <v>110000</v>
      </c>
      <c r="P16">
        <v>100000</v>
      </c>
      <c r="Q16">
        <v>10000</v>
      </c>
      <c r="R16">
        <v>110000</v>
      </c>
      <c r="S16">
        <v>0</v>
      </c>
      <c r="T16">
        <v>107185.21</v>
      </c>
      <c r="U16">
        <v>107185.21</v>
      </c>
      <c r="W16">
        <v>11332.83</v>
      </c>
      <c r="X16">
        <v>46307</v>
      </c>
      <c r="Y16">
        <v>0.974411</v>
      </c>
      <c r="Z16">
        <v>1</v>
      </c>
    </row>
    <row r="17">
      <c r="B17" t="str">
        <v>TOTALE:</v>
      </c>
      <c r="J17">
        <v>44.7015</v>
      </c>
      <c r="K17">
        <v>10.6346</v>
      </c>
      <c r="L17">
        <v>44.70647</v>
      </c>
      <c r="M17">
        <v>10.63872</v>
      </c>
    </row>
    <row r="18">
      <c r="B18" t="str">
        <v>MINISTERO DELL’INTERNO – RIGENERAZIONE URBANA – FINANZIAMENTO STATALE SCADENZA 12/27</v>
      </c>
    </row>
    <row r="19">
      <c r="A19">
        <v>15</v>
      </c>
      <c r="B19" t="str">
        <v>Rigenerazione Urbana</v>
      </c>
      <c r="C19" t="str">
        <v>PNRR-M5C2-I2.1 Piano di Riqualificazione Urbana quartiere popolare Compagnoni – riqualificazione ex scuole Villaggio Catellani per nuovo centro sociale/sede AUSER</v>
      </c>
      <c r="D19" t="str">
        <v>J84E21002010005</v>
      </c>
      <c r="E19" t="str">
        <v>CRISTINA BONDAVALLI</v>
      </c>
      <c r="F19" t="str">
        <v>CRISTINA BONDAVALLI</v>
      </c>
      <c r="G19">
        <v>100</v>
      </c>
      <c r="H19" t="str">
        <v>fine posticipata al 12/2027</v>
      </c>
      <c r="I19" t="str">
        <v>VIA COMPAGNONI</v>
      </c>
      <c r="J19">
        <v>44.6864</v>
      </c>
      <c r="K19">
        <v>10.6144</v>
      </c>
      <c r="N19">
        <v>258994.24</v>
      </c>
      <c r="P19">
        <v>190000</v>
      </c>
      <c r="Q19">
        <v>0</v>
      </c>
      <c r="R19">
        <v>214988.48</v>
      </c>
      <c r="S19">
        <v>4005.76</v>
      </c>
      <c r="T19">
        <v>121554.46</v>
      </c>
      <c r="U19">
        <v>117650.46</v>
      </c>
      <c r="W19">
        <v>60650.46000000001</v>
      </c>
      <c r="X19">
        <v>46307</v>
      </c>
      <c r="Y19">
        <v>0.5653998763096516</v>
      </c>
      <c r="Z19">
        <v>0</v>
      </c>
    </row>
    <row r="20" xml:space="preserve">
      <c r="A20">
        <v>16</v>
      </c>
      <c r="B20" t="str">
        <v>Ciclovie</v>
      </c>
      <c r="C20" t="str">
        <v>PNRR-M5C2-I2.1 Quartiere Ospizio/San Lazzaro – nuovo sottopasso ciclopedonale nel parco Campo di Marte</v>
      </c>
      <c r="D20" t="str">
        <v>J81B21004290005</v>
      </c>
      <c r="E20" t="str">
        <v>GIULIA NEVIANI</v>
      </c>
      <c r="F20" t="str">
        <v>GIULIA NEVIANI</v>
      </c>
      <c r="H20" t="str">
        <v>fine posticipata al 12/2027</v>
      </c>
      <c r="I20" t="str" xml:space="preserve">
        <v xml:space="preserve">varie vie
Superamento dell’asse ferroviario regionale Reggio Sassuolo in corrispondenza dei due parchi urbani denominati “Campo di Marte1” e “Campo di Marte 2” attualmente separati n modo invalicabile dalla linea ferroviaria</v>
      </c>
      <c r="J20">
        <v>44.6888</v>
      </c>
      <c r="K20">
        <v>10.6512</v>
      </c>
      <c r="N20">
        <v>1790000</v>
      </c>
      <c r="P20">
        <v>1050000</v>
      </c>
      <c r="Q20">
        <v>0</v>
      </c>
      <c r="R20">
        <v>276485.44</v>
      </c>
      <c r="S20" t="str">
        <v>cig ancora da prendere</v>
      </c>
      <c r="T20">
        <v>165897.97</v>
      </c>
      <c r="U20">
        <v>70996.64</v>
      </c>
      <c r="Y20">
        <v>0.6000242544417529</v>
      </c>
      <c r="Z20">
        <v>0</v>
      </c>
    </row>
    <row r="21" xml:space="preserve">
      <c r="A21">
        <v>17</v>
      </c>
      <c r="B21" t="str">
        <v>Ciclovie</v>
      </c>
      <c r="C21" t="str">
        <v>PNRR-M5C2-I2.1 Riqualificazione e rigenerazione urbana del quadrante nord-est del centro storico di Reggio – sottopasso ciclopedonale alla ferrovia storica Milano-Bologna</v>
      </c>
      <c r="D21" t="str">
        <v>J81B21004050005</v>
      </c>
      <c r="E21" t="str">
        <v>URSULA MONTANARI</v>
      </c>
      <c r="F21" t="str">
        <v>URSULA MONTANARI</v>
      </c>
      <c r="H21" t="str">
        <v>fine posticipata al 12/2027</v>
      </c>
      <c r="I21" t="str" xml:space="preserve">
        <v xml:space="preserve">varie vie
 realizzazione del nuovo sottopasso ciclopedonale tra via Roma e via Regina Margherita.</v>
      </c>
      <c r="J21">
        <v>44.7048</v>
      </c>
      <c r="K21">
        <v>10.6375</v>
      </c>
      <c r="N21">
        <v>12299000</v>
      </c>
      <c r="P21">
        <v>7080000</v>
      </c>
      <c r="Q21">
        <v>708000</v>
      </c>
      <c r="R21">
        <v>8931974.96</v>
      </c>
      <c r="S21" t="str">
        <v>manca variante</v>
      </c>
      <c r="T21">
        <v>3437192.51</v>
      </c>
      <c r="U21">
        <v>2654311.3</v>
      </c>
      <c r="V21">
        <v>2124000</v>
      </c>
      <c r="W21">
        <v>530311.2999999998</v>
      </c>
      <c r="X21">
        <v>46307</v>
      </c>
      <c r="Y21">
        <v>0.3855974211105491</v>
      </c>
      <c r="Z21">
        <v>0</v>
      </c>
    </row>
    <row r="22" xml:space="preserve">
      <c r="A22">
        <v>18</v>
      </c>
      <c r="B22" t="str">
        <v>Ciclovie</v>
      </c>
      <c r="C22" t="str">
        <v>PNRR-M5C2-I2.1 Riqualificazione e ricucitura urbana dei quartieri Ospizio/San Lazzaro – nuovo cavalcaferrovia ciclopedonale tra il Campus San Lazzaro e il nuovo parco dello sport</v>
      </c>
      <c r="D22" t="str">
        <v>J81B21004030005</v>
      </c>
      <c r="E22" t="str">
        <v>CLAUDIA DI SANO</v>
      </c>
      <c r="F22" t="str">
        <v>CLAUDIA DI SANO</v>
      </c>
      <c r="H22" t="str">
        <v>fine posticipata al 12/2027</v>
      </c>
      <c r="I22" t="str" xml:space="preserve">
        <v xml:space="preserve">varie vie
connessione tra il Campus San Lazzaro e la Via Emilia a sud e il sistema dei parchi e dell’Arena del Campovolo a nord, L’opera si colloca a circa 150 metri a ovest della stazione di Reggio Emilia San Lazzaro, in continuità con uno degli assi nord-sud strutturanti l’area storica di San Lazzaro (compreso tra il padiglione De Sanctis e il padiglione Besta) con ingresso diretto e riconoscibile dalla Via Emilia.</v>
      </c>
      <c r="J22">
        <v>44.69</v>
      </c>
      <c r="K22">
        <v>10.6651</v>
      </c>
      <c r="N22">
        <v>4296000</v>
      </c>
      <c r="P22">
        <v>2880000</v>
      </c>
      <c r="Q22">
        <v>288000</v>
      </c>
      <c r="R22">
        <v>3701150.61</v>
      </c>
      <c r="T22">
        <v>153640.16</v>
      </c>
      <c r="U22">
        <v>68825.76</v>
      </c>
      <c r="Y22">
        <v>0.04151145851370799</v>
      </c>
      <c r="Z22">
        <v>0</v>
      </c>
    </row>
    <row r="23">
      <c r="B23" t="str">
        <v>TOTALE:</v>
      </c>
    </row>
    <row r="24">
      <c r="B24" t="str">
        <v>MINISTERO DELL’ISTRUZIONE</v>
      </c>
    </row>
    <row r="25">
      <c r="A25">
        <v>19</v>
      </c>
      <c r="B25" t="str">
        <v>Edilizia Scolastica</v>
      </c>
      <c r="C25" t="str">
        <v>PNRR-M2C3-I1.1 SM Aosta: sostituzione edilizia, nuovo edificio previa demolizione dell’edificio attuale</v>
      </c>
      <c r="D25" t="str">
        <v>J81B22000860006</v>
      </c>
      <c r="E25" t="str">
        <v>ERMES TORREGGIANI</v>
      </c>
      <c r="F25" t="str">
        <v>ERMES TORREGGIANI</v>
      </c>
      <c r="G25">
        <v>100</v>
      </c>
      <c r="H25">
        <v>46265</v>
      </c>
      <c r="I25" t="str">
        <v>VIA CECATI N. 12</v>
      </c>
      <c r="J25">
        <v>44.688259</v>
      </c>
      <c r="K25">
        <v>10.6251</v>
      </c>
      <c r="N25">
        <v>16644000</v>
      </c>
      <c r="P25">
        <v>10440000</v>
      </c>
      <c r="Q25">
        <v>1044000</v>
      </c>
      <c r="R25">
        <v>16644000</v>
      </c>
      <c r="T25">
        <v>10728120.25</v>
      </c>
      <c r="U25">
        <v>9406326.05</v>
      </c>
      <c r="V25">
        <v>8546618.05</v>
      </c>
      <c r="W25">
        <v>1496974.129999999</v>
      </c>
      <c r="X25">
        <v>46307</v>
      </c>
      <c r="Y25">
        <v>0.6828518613314106</v>
      </c>
      <c r="Z25">
        <v>1</v>
      </c>
    </row>
    <row r="26">
      <c r="A26">
        <v>20</v>
      </c>
      <c r="B26" t="str">
        <v>Edilizia Scolastica</v>
      </c>
      <c r="C26" t="str">
        <v>PNRR-M4C1–I1.2 SP Ghiarda: Nuova mensa nell’area cortiliva della scuola</v>
      </c>
      <c r="D26" t="str">
        <v>J85E22000480001</v>
      </c>
      <c r="E26" t="str">
        <v>GABRIELLA OLIVIERO</v>
      </c>
      <c r="F26" t="str">
        <v>GABRIELLA OLIVIERO</v>
      </c>
      <c r="G26">
        <v>100</v>
      </c>
      <c r="H26">
        <v>46203</v>
      </c>
      <c r="I26" t="str">
        <v xml:space="preserve">VIA GHIARDA 28 </v>
      </c>
      <c r="J26">
        <v>44.6665688</v>
      </c>
      <c r="K26">
        <v>10.5658117</v>
      </c>
      <c r="N26">
        <v>674000</v>
      </c>
      <c r="P26">
        <v>426600</v>
      </c>
      <c r="Q26">
        <v>0</v>
      </c>
      <c r="R26">
        <v>674000</v>
      </c>
      <c r="T26">
        <v>606538.05</v>
      </c>
      <c r="U26">
        <v>373187.68</v>
      </c>
      <c r="Y26">
        <v>0.9022618694362018</v>
      </c>
      <c r="Z26">
        <v>1</v>
      </c>
    </row>
    <row r="27">
      <c r="A27">
        <v>21</v>
      </c>
      <c r="B27" t="str">
        <v>Edilizia Scolastica</v>
      </c>
      <c r="C27" t="str">
        <v>PNRR-M4C1–I1.2 SP Boiardo Bagno: nuova mensa con ampliamento edificio esistente</v>
      </c>
      <c r="D27" t="str">
        <v>J84E22000210006</v>
      </c>
      <c r="E27" t="str">
        <v>CRISTINA BONDAVALLI</v>
      </c>
      <c r="F27" t="str">
        <v>CRISTINA BONDAVALLI</v>
      </c>
      <c r="G27">
        <v>100</v>
      </c>
      <c r="H27">
        <v>46203</v>
      </c>
      <c r="I27" t="str">
        <v>VIA LASAGNI 5/A</v>
      </c>
      <c r="J27">
        <v>44.6409</v>
      </c>
      <c r="K27">
        <v>10.7371</v>
      </c>
      <c r="N27">
        <v>582172.35</v>
      </c>
      <c r="P27">
        <v>355500</v>
      </c>
      <c r="Q27">
        <v>17172.35</v>
      </c>
      <c r="R27">
        <v>582172.35</v>
      </c>
      <c r="T27">
        <v>498228.21</v>
      </c>
      <c r="U27">
        <v>352325.61</v>
      </c>
      <c r="W27">
        <v>22332.57000000001</v>
      </c>
      <c r="X27">
        <v>46307</v>
      </c>
      <c r="Y27">
        <v>0.863811464079323</v>
      </c>
      <c r="Z27">
        <v>1</v>
      </c>
    </row>
    <row r="28">
      <c r="A28">
        <v>22</v>
      </c>
      <c r="B28" t="str">
        <v>Edilizia Scolastica</v>
      </c>
      <c r="C28" t="str">
        <v xml:space="preserve">PNRR-M4C1–I1.2 SP Valeriani Cadè: Nuova mensa mediante riconversione degli spazi inutilizzati al piano primo del corpo di fabbrica in ampliamento costruito nel 2010  </v>
      </c>
      <c r="D28" t="str">
        <v>J83D22000210006</v>
      </c>
      <c r="E28" t="str">
        <v>GIORGIA LOMBARDINI</v>
      </c>
      <c r="F28" t="str">
        <v>SALVATORE FALBO</v>
      </c>
      <c r="G28">
        <v>100</v>
      </c>
      <c r="H28">
        <v>46203</v>
      </c>
      <c r="I28" t="str">
        <v>VIA GIORDANO BRUNO 29</v>
      </c>
      <c r="J28">
        <v>44.7176</v>
      </c>
      <c r="K28">
        <v>10.5342</v>
      </c>
      <c r="N28">
        <v>309920.55</v>
      </c>
      <c r="P28">
        <v>177750</v>
      </c>
      <c r="Q28">
        <v>12420.55</v>
      </c>
      <c r="R28">
        <v>309292.7</v>
      </c>
      <c r="S28">
        <v>627.85</v>
      </c>
      <c r="T28">
        <v>309202.57</v>
      </c>
      <c r="U28">
        <v>189989.05</v>
      </c>
      <c r="Y28">
        <v>0.9997085931869715</v>
      </c>
      <c r="Z28">
        <v>1</v>
      </c>
    </row>
    <row r="29">
      <c r="A29">
        <v>23</v>
      </c>
      <c r="B29" t="str">
        <v>Edilizia Scolastica</v>
      </c>
      <c r="C29" t="str">
        <v xml:space="preserve"> PNRR-M4C1–I1.2 SP Dallaglio: Nuova mensa nell’area cortiliva della scuola</v>
      </c>
      <c r="D29" t="str">
        <v>J85E22000470001</v>
      </c>
      <c r="E29" t="str">
        <v>GIOVANNI GHERPELLI</v>
      </c>
      <c r="F29" t="str">
        <v>GIOVANNI GHERPELLI</v>
      </c>
      <c r="G29">
        <v>100</v>
      </c>
      <c r="H29">
        <v>46203</v>
      </c>
      <c r="I29" t="str">
        <v>VIA TERRACHINI 20</v>
      </c>
      <c r="J29">
        <v>44.691238</v>
      </c>
      <c r="K29">
        <v>10.6424</v>
      </c>
      <c r="N29">
        <v>588000</v>
      </c>
      <c r="P29">
        <v>355500</v>
      </c>
      <c r="Q29">
        <v>0</v>
      </c>
      <c r="R29">
        <v>588000</v>
      </c>
      <c r="S29">
        <v>0</v>
      </c>
      <c r="T29">
        <v>546282.66</v>
      </c>
      <c r="U29">
        <v>353135.93</v>
      </c>
      <c r="W29">
        <v>33185.92999999999</v>
      </c>
      <c r="X29">
        <v>46307</v>
      </c>
      <c r="Y29">
        <v>0.929052142857143</v>
      </c>
      <c r="Z29">
        <v>1</v>
      </c>
    </row>
    <row r="30">
      <c r="A30">
        <v>24</v>
      </c>
      <c r="B30" t="str">
        <v>Edilizia Scolastica</v>
      </c>
      <c r="C30" t="str">
        <v xml:space="preserve"> PNRR-M4C1–I1.2 SP Marconi: Nuova mensa nell’area cortiliva della scuola</v>
      </c>
      <c r="D30" t="str">
        <v>J81B22002190001</v>
      </c>
      <c r="E30" t="str">
        <v>CRISTINA BONDAVALLI</v>
      </c>
      <c r="F30" t="str">
        <v>CRISTINA BONDAVALLI</v>
      </c>
      <c r="G30">
        <v>100</v>
      </c>
      <c r="H30">
        <v>46203</v>
      </c>
      <c r="I30" t="str">
        <v>VIA EMILIA OSPIZIO 78</v>
      </c>
      <c r="J30">
        <v>44.691132</v>
      </c>
      <c r="K30">
        <v>10.6504</v>
      </c>
      <c r="N30">
        <v>659291.3</v>
      </c>
      <c r="P30">
        <v>355500</v>
      </c>
      <c r="Q30">
        <v>44291.3</v>
      </c>
      <c r="R30">
        <v>659291.3</v>
      </c>
      <c r="T30">
        <v>533095.49</v>
      </c>
      <c r="U30">
        <v>369330.23</v>
      </c>
      <c r="W30">
        <v>16205.57999999996</v>
      </c>
      <c r="X30">
        <v>46307</v>
      </c>
      <c r="Y30">
        <v>0.808588692130474</v>
      </c>
      <c r="Z30">
        <v>1</v>
      </c>
    </row>
    <row r="31">
      <c r="A31">
        <v>25</v>
      </c>
      <c r="B31" t="str">
        <v>Edilizia Scolastica</v>
      </c>
      <c r="C31" t="str">
        <v>PNRR-M4C1-I1.1 NIDO SOLE: riqualificazione messa in sicurezza</v>
      </c>
      <c r="D31" t="str">
        <v>J88I22000420001</v>
      </c>
      <c r="E31" t="str">
        <v>SALVATORE FALBO</v>
      </c>
      <c r="F31" t="str">
        <v>SALVATORE FALBO</v>
      </c>
      <c r="G31">
        <v>100</v>
      </c>
      <c r="H31">
        <v>46203</v>
      </c>
      <c r="I31" t="str">
        <v>VIA CARAVAGGIO, 2</v>
      </c>
      <c r="J31">
        <v>44.68618</v>
      </c>
      <c r="K31">
        <v>10.65208</v>
      </c>
      <c r="N31">
        <v>1166880</v>
      </c>
      <c r="P31">
        <v>1060800</v>
      </c>
      <c r="Q31">
        <v>106080</v>
      </c>
      <c r="R31">
        <v>1041389.39</v>
      </c>
      <c r="T31">
        <v>589571.07</v>
      </c>
      <c r="U31">
        <v>589571.07</v>
      </c>
      <c r="V31">
        <v>589571.07</v>
      </c>
      <c r="Y31">
        <v>0.5661389252294955</v>
      </c>
      <c r="Z31">
        <v>1</v>
      </c>
    </row>
    <row r="32">
      <c r="A32">
        <v>26</v>
      </c>
      <c r="B32" t="str">
        <v>Edilizia Scolastica</v>
      </c>
      <c r="C32" t="str">
        <v xml:space="preserve"> PNRR-M4C1-I1.1 NIDO RODARi: riqualificazione messa in sicurezza</v>
      </c>
      <c r="D32" t="str">
        <v>J88I22000290006</v>
      </c>
      <c r="E32" t="str">
        <v>SALVATORE FALBO</v>
      </c>
      <c r="F32" t="str">
        <v>SALVATORE FALBO</v>
      </c>
      <c r="G32">
        <v>100</v>
      </c>
      <c r="H32">
        <v>46203</v>
      </c>
      <c r="I32" t="str">
        <v>VIA CECATI, 3/2</v>
      </c>
      <c r="J32">
        <v>44.688259</v>
      </c>
      <c r="K32">
        <v>10.6251</v>
      </c>
      <c r="N32">
        <v>800500</v>
      </c>
      <c r="P32">
        <v>605000</v>
      </c>
      <c r="Q32">
        <v>60500</v>
      </c>
      <c r="R32">
        <v>800500</v>
      </c>
      <c r="T32">
        <v>530177.91</v>
      </c>
      <c r="U32">
        <v>508336.5</v>
      </c>
      <c r="Y32">
        <v>0.6623084447220488</v>
      </c>
      <c r="Z32">
        <v>1</v>
      </c>
    </row>
    <row r="33">
      <c r="A33">
        <v>27</v>
      </c>
      <c r="B33" t="str">
        <v>Edilizia Scolastica</v>
      </c>
      <c r="C33" t="str">
        <v>PNRR-M4C1-I1.1 NIDO PETER PAN: riqualificazione messa in sicurezza</v>
      </c>
      <c r="D33" t="str">
        <v>J88I22000300006</v>
      </c>
      <c r="E33" t="str">
        <v>SALVATORE FALBO</v>
      </c>
      <c r="F33" t="str">
        <v>SALVATORE FALBO</v>
      </c>
      <c r="G33">
        <v>100</v>
      </c>
      <c r="H33">
        <v>46203</v>
      </c>
      <c r="I33" t="str">
        <v>VIA PRADARENA, 14</v>
      </c>
      <c r="J33">
        <v>44.6854</v>
      </c>
      <c r="K33">
        <v>10.6195</v>
      </c>
      <c r="N33">
        <v>950460.75</v>
      </c>
      <c r="P33">
        <v>806000</v>
      </c>
      <c r="Q33">
        <v>80600</v>
      </c>
      <c r="R33">
        <v>950460.75</v>
      </c>
      <c r="S33">
        <v>0</v>
      </c>
      <c r="T33">
        <v>795325.1</v>
      </c>
      <c r="U33">
        <v>740436.3</v>
      </c>
      <c r="Y33">
        <v>0.8367784782275333</v>
      </c>
      <c r="Z33">
        <v>1</v>
      </c>
    </row>
    <row r="34">
      <c r="A34">
        <v>28</v>
      </c>
      <c r="B34" t="str">
        <v>Edilizia Scolastica</v>
      </c>
      <c r="C34" t="str">
        <v xml:space="preserve"> PNRR-M4C1-I1.1 NIDO G. CERVI: riqualificazione messa in sicurezza</v>
      </c>
      <c r="D34" t="str">
        <v>J88I22000310006</v>
      </c>
      <c r="E34" t="str">
        <v>SALVATORE FALBO</v>
      </c>
      <c r="F34" t="str">
        <v>SALVATORE FALBO</v>
      </c>
      <c r="G34">
        <v>100</v>
      </c>
      <c r="H34">
        <v>46203</v>
      </c>
      <c r="I34" t="str">
        <v>VIA RENATO FUCINI, 1</v>
      </c>
      <c r="J34">
        <v>44.6728</v>
      </c>
      <c r="K34">
        <v>10.6148</v>
      </c>
      <c r="N34">
        <v>1297610</v>
      </c>
      <c r="P34">
        <v>1075100</v>
      </c>
      <c r="Q34">
        <v>107510</v>
      </c>
      <c r="R34">
        <v>1297610</v>
      </c>
      <c r="T34">
        <v>877646.06</v>
      </c>
      <c r="U34">
        <v>839849.25</v>
      </c>
      <c r="W34">
        <v>298363.71</v>
      </c>
      <c r="X34">
        <v>46307</v>
      </c>
      <c r="Y34">
        <v>0.6763558079854503</v>
      </c>
      <c r="Z34">
        <v>1</v>
      </c>
    </row>
    <row r="35">
      <c r="A35">
        <v>29</v>
      </c>
      <c r="B35" t="str">
        <v>Edilizia Scolastica</v>
      </c>
      <c r="C35" t="str">
        <v xml:space="preserve">PNRR-M4C1-I1.1 POLO PER L’INFANZIA (NIDO RIVIERI/SI CLAUDEL): riqualificazione messa in sicurezza </v>
      </c>
      <c r="D35" t="str">
        <v>J88I22000340006</v>
      </c>
      <c r="E35" t="str">
        <v>SALVATORE FALBO</v>
      </c>
      <c r="F35" t="str">
        <v>SALVATORE FALBO</v>
      </c>
      <c r="G35">
        <v>100</v>
      </c>
      <c r="H35">
        <v>46203</v>
      </c>
      <c r="I35" t="str">
        <v>VIA HONORÉ DE BALZAC, 2</v>
      </c>
      <c r="J35">
        <v>44.6928</v>
      </c>
      <c r="K35">
        <v>10.6078</v>
      </c>
      <c r="N35">
        <v>1284961.55</v>
      </c>
      <c r="P35">
        <v>1042600</v>
      </c>
      <c r="Q35">
        <v>104260</v>
      </c>
      <c r="R35">
        <v>1273190.53</v>
      </c>
      <c r="T35">
        <v>1270702.1</v>
      </c>
      <c r="U35">
        <v>1132600.56</v>
      </c>
      <c r="W35">
        <v>111020.4700000001</v>
      </c>
      <c r="X35">
        <v>46280</v>
      </c>
      <c r="Y35">
        <v>1</v>
      </c>
      <c r="Z35">
        <v>1</v>
      </c>
    </row>
    <row r="36">
      <c r="A36">
        <v>30</v>
      </c>
      <c r="B36" t="str">
        <v>Edilizia Scolastica</v>
      </c>
      <c r="C36" t="str">
        <v>PNRR-M4C1-I1.1 POLO PER L’INFANZIA (NIDO IOTTI/SI AGORA’): riqualificazione messa in sicurezza</v>
      </c>
      <c r="D36" t="str">
        <v>J88I22000330006</v>
      </c>
      <c r="E36" t="str">
        <v>SALVATORE FALBO</v>
      </c>
      <c r="F36" t="str">
        <v>SALVATORE FALBO</v>
      </c>
      <c r="G36">
        <v>100</v>
      </c>
      <c r="H36">
        <v>46203</v>
      </c>
      <c r="I36" t="str">
        <v xml:space="preserve">VIA FRATELLI BANDIERA,12C </v>
      </c>
      <c r="J36">
        <v>44.706521</v>
      </c>
      <c r="K36">
        <v>10.595695</v>
      </c>
      <c r="N36">
        <v>972950</v>
      </c>
      <c r="P36">
        <v>884500</v>
      </c>
      <c r="Q36">
        <v>88450</v>
      </c>
      <c r="R36">
        <v>874084.38</v>
      </c>
      <c r="T36">
        <v>765508.28</v>
      </c>
      <c r="U36">
        <v>765508.28</v>
      </c>
      <c r="W36">
        <v>58437.34000000008</v>
      </c>
      <c r="X36">
        <v>46280</v>
      </c>
      <c r="Y36">
        <v>0.8757830451105878</v>
      </c>
      <c r="Z36">
        <v>1</v>
      </c>
    </row>
    <row r="37">
      <c r="A37">
        <v>31</v>
      </c>
      <c r="B37" t="str">
        <v>Edilizia Scolastica</v>
      </c>
      <c r="C37" t="str">
        <v>PNRR-M4C1-I1.1 Polo dell'Infanzia al parco Ottavi</v>
      </c>
      <c r="D37" t="str">
        <v>J81B22002240006</v>
      </c>
      <c r="E37" t="str">
        <v>SALVATORE FALBO</v>
      </c>
      <c r="F37" t="str">
        <v>SALVATORE FALBO</v>
      </c>
      <c r="G37">
        <v>100</v>
      </c>
      <c r="H37">
        <v>46265</v>
      </c>
      <c r="I37" t="str">
        <v xml:space="preserve">PARCO OTTAVI </v>
      </c>
      <c r="J37">
        <v>44.700631</v>
      </c>
      <c r="K37">
        <v>10.599942</v>
      </c>
      <c r="N37">
        <v>4794400</v>
      </c>
      <c r="P37">
        <v>2904000</v>
      </c>
      <c r="Q37">
        <v>290400</v>
      </c>
      <c r="R37">
        <v>4794400</v>
      </c>
      <c r="S37">
        <v>0</v>
      </c>
      <c r="T37">
        <v>3666533.2</v>
      </c>
      <c r="U37">
        <v>2435463.02</v>
      </c>
      <c r="Y37">
        <v>0.7786983272150843</v>
      </c>
      <c r="Z37">
        <v>1</v>
      </c>
    </row>
    <row r="38">
      <c r="B38" t="str">
        <v>TOTALE:</v>
      </c>
    </row>
    <row r="39">
      <c r="B39" t="str">
        <v>DIPARTIMENTO PER LO SPORT</v>
      </c>
    </row>
    <row r="40">
      <c r="A40">
        <v>32</v>
      </c>
      <c r="B40" t="str">
        <v>Impianti Sportivi</v>
      </c>
      <c r="C40" t="str">
        <v xml:space="preserve"> PNRR-M5C2-I3.1 Nuova cittadella dello Sport di Masone</v>
      </c>
      <c r="D40" t="str">
        <v>J85B22000350005</v>
      </c>
      <c r="E40" t="str">
        <v>ERMES TORREGGIANI</v>
      </c>
      <c r="F40" t="str">
        <v>ERMES TORREGGIANI</v>
      </c>
      <c r="G40">
        <v>100</v>
      </c>
      <c r="H40">
        <v>46203</v>
      </c>
      <c r="I40" t="str">
        <v>VIA MANZOTTI 1</v>
      </c>
      <c r="J40">
        <v>44.6865</v>
      </c>
      <c r="K40">
        <v>10.7093</v>
      </c>
      <c r="N40">
        <v>2650000</v>
      </c>
      <c r="P40">
        <v>2500000</v>
      </c>
      <c r="Q40">
        <v>0</v>
      </c>
      <c r="R40">
        <v>2650000</v>
      </c>
      <c r="T40">
        <v>2256549.5</v>
      </c>
      <c r="U40">
        <v>2252541.14</v>
      </c>
      <c r="Y40">
        <v>0.8515281132075472</v>
      </c>
      <c r="Z40">
        <v>1</v>
      </c>
    </row>
    <row r="41">
      <c r="A41">
        <v>33</v>
      </c>
      <c r="B41" t="str">
        <v>Impianti Sportivi</v>
      </c>
      <c r="C41" t="str">
        <v xml:space="preserve"> PNRR-M5C2-I3.1 Riqualificazione stadio Mirabello</v>
      </c>
      <c r="D41" t="str">
        <v>J82H22000530005</v>
      </c>
      <c r="E41" t="str">
        <v>ERMES TORREGGIANI</v>
      </c>
      <c r="F41" t="str">
        <v>ERMES TORREGGIANI</v>
      </c>
      <c r="G41">
        <v>100</v>
      </c>
      <c r="H41">
        <v>46203</v>
      </c>
      <c r="I41" t="str">
        <v xml:space="preserve">VIA MATTEOTTI 11 </v>
      </c>
      <c r="J41">
        <v>44.69327</v>
      </c>
      <c r="K41">
        <v>10.64129</v>
      </c>
      <c r="N41">
        <v>1300000</v>
      </c>
      <c r="P41">
        <v>1000000</v>
      </c>
      <c r="Q41">
        <v>0</v>
      </c>
      <c r="R41">
        <v>1216311.16</v>
      </c>
      <c r="T41">
        <v>1212002.54</v>
      </c>
      <c r="U41">
        <v>976937.78</v>
      </c>
      <c r="W41">
        <v>76937.78000000003</v>
      </c>
      <c r="X41">
        <v>46280</v>
      </c>
      <c r="Y41">
        <v>0.9964576334233421</v>
      </c>
      <c r="Z41">
        <v>1</v>
      </c>
    </row>
    <row r="42">
      <c r="B42" t="str">
        <v>TOTALE:</v>
      </c>
    </row>
    <row r="43">
      <c r="B43" t="str">
        <v>MINISTERO DELLE INFRASTRUTTURE E DEI TRASPORTI</v>
      </c>
    </row>
    <row r="44" xml:space="preserve">
      <c r="A44">
        <v>34</v>
      </c>
      <c r="B44" t="str">
        <v>Ciclovie</v>
      </c>
      <c r="C44" t="str">
        <v>PNRR-M2C2-I4.1 Completamento ciclovia 1 e 2 S. Lazzaro-centro città</v>
      </c>
      <c r="D44" t="str">
        <v>J89J22002390001</v>
      </c>
      <c r="E44" t="str">
        <v>SILVIA BIZZARRI</v>
      </c>
      <c r="F44" t="str">
        <v>SILVIA BIZZARRI</v>
      </c>
      <c r="G44">
        <v>100</v>
      </c>
      <c r="H44">
        <v>46203</v>
      </c>
      <c r="I44" t="str" xml:space="preserve">
        <v xml:space="preserve">ZONA EST- S.LAZZARO- CENTRO 
 È stata data continuità alla ciclovia 1 est, con la creazione di una ciclabile in sede propria, ed è stata ridisegnata la ciclovia 2 in Via Cialdini. </v>
      </c>
      <c r="J44">
        <v>44.69381</v>
      </c>
      <c r="K44">
        <v>10.65515</v>
      </c>
      <c r="L44">
        <v>44.6978</v>
      </c>
      <c r="M44">
        <v>10.6303</v>
      </c>
      <c r="N44">
        <v>487039</v>
      </c>
      <c r="P44">
        <v>487039</v>
      </c>
      <c r="Q44">
        <v>0</v>
      </c>
      <c r="R44">
        <v>386700.27</v>
      </c>
      <c r="T44">
        <v>386841.79</v>
      </c>
      <c r="U44">
        <v>386841.79</v>
      </c>
      <c r="W44">
        <v>156304.68</v>
      </c>
      <c r="X44">
        <v>46280</v>
      </c>
      <c r="Y44">
        <v>1</v>
      </c>
      <c r="Z44">
        <v>1</v>
      </c>
    </row>
    <row r="45" xml:space="preserve">
      <c r="A45">
        <v>35</v>
      </c>
      <c r="B45" t="str">
        <v>Ciclovie</v>
      </c>
      <c r="C45" t="str">
        <v>PNRR-M2C2-I4.1 Realizzazione superciclabile stazione Mediopadana – confine comunale</v>
      </c>
      <c r="D45" t="str">
        <v>J89J22002400001</v>
      </c>
      <c r="E45" t="str">
        <v>URSULA MONTANARI</v>
      </c>
      <c r="F45" t="str">
        <v>URSULA MONTANARI</v>
      </c>
      <c r="G45">
        <v>100</v>
      </c>
      <c r="H45">
        <v>46203</v>
      </c>
      <c r="I45" t="str" xml:space="preserve">
        <v xml:space="preserve">ZONA NORD : da via Filangeri a via Bovio in fregio a via Gramsci;da via don Leuratti a via Raffaello;ratto ciclabile in prossimità del collegamento alla ciclabile del PuA6 (che collega Mancasale da est a ovest all’altezza dello stabilimento Ognibene);
i tratti ciclabili delle vie Majorana, Raffaello, Bovio e di Vittorio.</v>
      </c>
      <c r="J45">
        <v>44.7252559</v>
      </c>
      <c r="K45">
        <v>10.6546029</v>
      </c>
      <c r="L45">
        <v>44.7301</v>
      </c>
      <c r="M45">
        <v>10.645</v>
      </c>
      <c r="N45">
        <v>1600000</v>
      </c>
      <c r="P45">
        <v>1600000</v>
      </c>
      <c r="Q45">
        <v>0</v>
      </c>
      <c r="R45">
        <v>1517005.86</v>
      </c>
      <c r="T45">
        <v>1513502.86</v>
      </c>
      <c r="U45">
        <v>1513502.86</v>
      </c>
      <c r="Y45">
        <v>0.9975919671134296</v>
      </c>
      <c r="Z45">
        <v>1</v>
      </c>
    </row>
    <row r="46">
      <c r="A46">
        <v>36</v>
      </c>
      <c r="B46" t="str">
        <v>Ciclovie</v>
      </c>
      <c r="C46" t="str">
        <v xml:space="preserve">PNRR-M2C2-I4.1 Superciclabile sud - realizzazione di nuova rete ciclabile tra Rivalta e Mancasale - 1° Stralcio  </v>
      </c>
      <c r="D46" t="str">
        <v>J81B21000270001</v>
      </c>
      <c r="E46" t="str">
        <v>SILVIA BIZZARRI</v>
      </c>
      <c r="F46" t="str">
        <v>SILVIA BIZZARRI</v>
      </c>
      <c r="G46">
        <v>100</v>
      </c>
      <c r="H46">
        <v>46203</v>
      </c>
      <c r="I46" t="str">
        <v>varie vie: unire più velocemente le ampie zone residenziali a sud, da Via Conforti a Rivalta, con le aree produttive di Mancasale a nord e Via Filangieri.</v>
      </c>
      <c r="J46">
        <v>44.644</v>
      </c>
      <c r="K46">
        <v>10.63</v>
      </c>
      <c r="L46">
        <v>44.720539</v>
      </c>
      <c r="M46">
        <v>10.6375</v>
      </c>
      <c r="N46">
        <v>860237.57</v>
      </c>
      <c r="P46">
        <v>860237.57</v>
      </c>
      <c r="Q46">
        <v>0</v>
      </c>
      <c r="R46">
        <v>744210.03</v>
      </c>
      <c r="S46">
        <v>116027.54</v>
      </c>
      <c r="T46">
        <v>744210.03</v>
      </c>
      <c r="U46">
        <v>744210.03</v>
      </c>
      <c r="Y46">
        <v>1</v>
      </c>
      <c r="Z46">
        <v>1</v>
      </c>
    </row>
    <row r="47">
      <c r="B47" t="str">
        <v>TOTALE:</v>
      </c>
    </row>
    <row r="48">
      <c r="B48" t="str">
        <v>MINISTERO DEL LAVORO E DELLE POLITICHE SOCIALI</v>
      </c>
    </row>
    <row r="49">
      <c r="A49">
        <v>37</v>
      </c>
      <c r="B49" t="str">
        <v>Servizi Sociali</v>
      </c>
      <c r="C49" t="str">
        <v>PNRR-M5C2-I1.1.2 Riconversione e riqualificazione di residenze e adeguamento tecnologia domotica innovativa per spazi abitativi per anziani non autosufficienti (soggetto esecutore ACER)</v>
      </c>
      <c r="D49" t="str">
        <v>J84H22001000001</v>
      </c>
      <c r="E49" t="str">
        <v>ANDREA ILLARI</v>
      </c>
      <c r="F49" t="str">
        <v>ANDREA ILLARI</v>
      </c>
      <c r="G49">
        <v>100</v>
      </c>
      <c r="H49">
        <v>46203</v>
      </c>
      <c r="I49" t="str">
        <v>COMUNE DI REGGIO EMILIA [UBICAZIONE PLURIMA – NON PUNTUALE, COORDINATE NON APPLICABILI]</v>
      </c>
      <c r="N49">
        <v>2460000</v>
      </c>
      <c r="P49">
        <v>2460000</v>
      </c>
      <c r="Q49">
        <v>0</v>
      </c>
      <c r="R49">
        <v>2349441.32</v>
      </c>
      <c r="T49">
        <v>1135706.86</v>
      </c>
      <c r="U49">
        <v>1135706.86</v>
      </c>
      <c r="V49">
        <v>1126963.86</v>
      </c>
      <c r="W49">
        <v>708983.1299999999</v>
      </c>
      <c r="X49">
        <v>46307</v>
      </c>
      <c r="Y49">
        <v>0.7814398148066963</v>
      </c>
      <c r="Z49">
        <v>1</v>
      </c>
    </row>
    <row r="50">
      <c r="A50">
        <v>38</v>
      </c>
      <c r="B50" t="str">
        <v>Servizi Sociali</v>
      </c>
      <c r="C50" t="str">
        <v>PNRR-M5C2-I1.2 Realizzazione di abitazioni per gruppi di persone con disabilità e predisposizione di strumenti e tecnologie di domotica e interazione a distanza presso l’immobile sito in via Mazzini, 6 piano sesto (Progetto Comune di Reggio)</v>
      </c>
      <c r="D50" t="str">
        <v>J84F22000430001</v>
      </c>
      <c r="E50" t="str">
        <v>ANDREA ILLARI</v>
      </c>
      <c r="F50" t="str">
        <v>ANDREA ILLARI</v>
      </c>
      <c r="G50">
        <v>100</v>
      </c>
      <c r="H50">
        <v>46203</v>
      </c>
      <c r="I50" t="str">
        <v>COMUNE DI REGGIO EMILIA - riqualificazione di due abitazioni situate in via Mazzini (di proprietà di Asp Reggio Emilia Città delle persone) e in via Brigata Reggio (di proprietà di Farmacie comunali riunite</v>
      </c>
      <c r="J50">
        <v>44.70975</v>
      </c>
      <c r="K50">
        <v>10.60827</v>
      </c>
      <c r="N50">
        <v>765000</v>
      </c>
      <c r="P50">
        <v>715000</v>
      </c>
      <c r="Q50">
        <v>0</v>
      </c>
      <c r="R50">
        <v>765000</v>
      </c>
      <c r="S50">
        <v>0</v>
      </c>
      <c r="T50">
        <v>521673.2</v>
      </c>
      <c r="U50">
        <v>500157.81</v>
      </c>
      <c r="Y50">
        <v>0.730528431372549</v>
      </c>
      <c r="Z50">
        <v>1</v>
      </c>
    </row>
    <row r="51">
      <c r="A51">
        <v>39</v>
      </c>
      <c r="B51" t="str">
        <v>Servizi Sociali</v>
      </c>
      <c r="C51" t="str">
        <v>PNRR-M5C2-I1.2 Realizzazione di abitazioni per gruppi di persone con disabilità e predisposizione di strumenti e tecnologie di domotica e interazione a distanza presso l’immobile di Quattro Castella (Montecavolo) (Progetto Comune di Quattro Castella) (trasferimento a Unione Colline Matildiche)</v>
      </c>
      <c r="D51" t="str">
        <v>J54F22000990001</v>
      </c>
      <c r="E51" t="str">
        <v>GERMANA CORRADINI</v>
      </c>
      <c r="F51" t="str">
        <v>GERMANA CORRADINI</v>
      </c>
      <c r="I51" t="str">
        <v xml:space="preserve">VIA P.NENNI - MONTECAVOLO - QUATTRO CASTELLA (RE) </v>
      </c>
      <c r="N51">
        <v>329583.84</v>
      </c>
      <c r="P51">
        <v>329583.84</v>
      </c>
      <c r="Q51">
        <v>0</v>
      </c>
      <c r="R51">
        <v>309994.66</v>
      </c>
      <c r="T51">
        <v>226064.53</v>
      </c>
      <c r="U51">
        <v>226064.53</v>
      </c>
      <c r="Y51">
        <v>0.7292529813255494</v>
      </c>
      <c r="Z51">
        <v>1</v>
      </c>
    </row>
    <row r="52">
      <c r="A52">
        <v>40</v>
      </c>
      <c r="B52" t="str">
        <v>Servizi Sociali</v>
      </c>
      <c r="C52" t="str">
        <v xml:space="preserve">PNRR-M5C2-I1.3 Riconversione di strutture di accoglienza in mini alloggi con spazi e servizi comuni presso l’immobile sito in via Dalmazia n. 85  </v>
      </c>
      <c r="D52" t="str">
        <v>J84H22000690001</v>
      </c>
      <c r="E52" t="str">
        <v>ANDREA ILLARI</v>
      </c>
      <c r="F52" t="str">
        <v>ANDREA ILLARI</v>
      </c>
      <c r="G52">
        <v>100</v>
      </c>
      <c r="H52">
        <v>46203</v>
      </c>
      <c r="I52" t="str">
        <v>COMUNE DI REGGIO EMILIA - ATS REGGIO EMILIA via Dalmazia n. 85</v>
      </c>
      <c r="J52">
        <v>44.6982</v>
      </c>
      <c r="K52">
        <v>10.6178</v>
      </c>
      <c r="N52">
        <v>710000</v>
      </c>
      <c r="P52">
        <v>710000</v>
      </c>
      <c r="Q52">
        <v>0</v>
      </c>
      <c r="R52">
        <v>710000</v>
      </c>
      <c r="S52">
        <v>0</v>
      </c>
      <c r="T52">
        <v>698121.76</v>
      </c>
      <c r="U52">
        <v>698121.76</v>
      </c>
      <c r="W52">
        <v>485121.76</v>
      </c>
      <c r="X52">
        <v>46307</v>
      </c>
      <c r="Y52">
        <v>0.9832700845070422</v>
      </c>
      <c r="Z52">
        <v>1</v>
      </c>
    </row>
    <row r="53">
      <c r="A53">
        <v>41</v>
      </c>
      <c r="B53" t="str">
        <v>Servizi Sociali</v>
      </c>
      <c r="C53" t="str">
        <v>PNRR-M5C2-I1.3 Realizzazione di centri servizi per persone di marginalità anche estrema e senza dimora presso l’immobile sito in via Kennedy n.15-17</v>
      </c>
      <c r="D53" t="str">
        <v>J84H22000710001</v>
      </c>
      <c r="E53" t="str">
        <v>ANDREA ILLARI</v>
      </c>
      <c r="F53" t="str">
        <v>ANDREA ILLARI</v>
      </c>
      <c r="G53">
        <v>100</v>
      </c>
      <c r="H53">
        <v>46203</v>
      </c>
      <c r="I53" t="str">
        <v>COMUNE DI REGGIO EMILIA - ATS REGGIO EMILIA  o in via Kennedy n.15-17</v>
      </c>
      <c r="J53">
        <v>44.709</v>
      </c>
      <c r="K53">
        <v>10.6087</v>
      </c>
      <c r="N53">
        <v>1387000</v>
      </c>
      <c r="P53">
        <v>1090000</v>
      </c>
      <c r="Q53">
        <v>0</v>
      </c>
      <c r="R53">
        <v>1387000</v>
      </c>
      <c r="S53">
        <v>0</v>
      </c>
      <c r="T53">
        <v>936086.68</v>
      </c>
      <c r="U53">
        <v>936086.68</v>
      </c>
      <c r="W53">
        <v>609086.68</v>
      </c>
      <c r="X53">
        <v>46307</v>
      </c>
      <c r="Y53">
        <v>0.6749002739726028</v>
      </c>
      <c r="Z53">
        <v>1</v>
      </c>
    </row>
    <row r="54">
      <c r="B54" t="str">
        <v>TOTALE:</v>
      </c>
    </row>
    <row r="55">
      <c r="B55" t="str">
        <v>MINISTERO DELLA CULTURA</v>
      </c>
    </row>
    <row r="56">
      <c r="A56">
        <v>42</v>
      </c>
      <c r="B56" t="str">
        <v>Rigenerazione Urbana</v>
      </c>
      <c r="C56" t="str">
        <v>PNRR-M1C3-I1.2 Rimozione delle barriere fisiche e cognitive – Palazzo dei Musei</v>
      </c>
      <c r="D56" t="str">
        <v>J87B22000800006</v>
      </c>
      <c r="E56" t="str">
        <v>FRANCESCA RUOZI</v>
      </c>
      <c r="F56" t="str">
        <v>FRANCESCA RUOZI</v>
      </c>
      <c r="G56">
        <v>100</v>
      </c>
      <c r="H56">
        <v>46203</v>
      </c>
      <c r="I56" t="str">
        <v xml:space="preserve">VIA LAZZARO SPALLANZANI 1 </v>
      </c>
      <c r="J56">
        <v>44.700042</v>
      </c>
      <c r="K56">
        <v>10.632056</v>
      </c>
      <c r="N56">
        <v>499999</v>
      </c>
      <c r="P56">
        <v>499999</v>
      </c>
      <c r="Q56">
        <v>0</v>
      </c>
      <c r="R56">
        <v>499999</v>
      </c>
      <c r="S56">
        <v>0</v>
      </c>
      <c r="T56">
        <v>478633.36</v>
      </c>
      <c r="U56">
        <v>478633.36</v>
      </c>
      <c r="Y56">
        <v>0.9932475064950129</v>
      </c>
      <c r="Z56">
        <v>1</v>
      </c>
    </row>
    <row r="57">
      <c r="A57">
        <v>43</v>
      </c>
      <c r="B57" t="str">
        <v>Rigenerazione Urbana</v>
      </c>
      <c r="C57" t="str">
        <v>PNRR-M1C3-I1.2 Rimozione delle barriere fisiche e cognitive – Palazzo dei Musei (spesa corrente)</v>
      </c>
      <c r="D57" t="str">
        <v>J87B22000800006</v>
      </c>
      <c r="J57">
        <v>44.700042</v>
      </c>
      <c r="K57">
        <v>10.632056</v>
      </c>
      <c r="Y57">
        <v>0.9932475064950129</v>
      </c>
      <c r="Z57">
        <v>1</v>
      </c>
    </row>
    <row r="58">
      <c r="B58" t="str">
        <v>TOTALE:</v>
      </c>
    </row>
    <row r="59">
      <c r="B59" t="str">
        <v>CENTRO REGIONALE PER IL LAVORO</v>
      </c>
    </row>
    <row r="60">
      <c r="A60">
        <v>44</v>
      </c>
      <c r="B60" t="str">
        <v>Lavori Pubblici</v>
      </c>
      <c r="C60" t="str">
        <v>PNRR-M5C1-I1.1 – Riqualificazione Torre B del Giglio – Realizzazione del CPI</v>
      </c>
      <c r="D60" t="str">
        <v>J88I22000400002</v>
      </c>
      <c r="E60" t="str">
        <v>SALVATORE FALBO</v>
      </c>
      <c r="F60" t="str">
        <v>SALVATORE FALBO</v>
      </c>
      <c r="G60">
        <v>100</v>
      </c>
      <c r="H60">
        <v>46203</v>
      </c>
      <c r="I60" t="str">
        <v xml:space="preserve">VIA PIER GIACINTO TERRACHINI, 18 </v>
      </c>
      <c r="J60">
        <v>44.7138</v>
      </c>
      <c r="K60">
        <v>10.6481</v>
      </c>
      <c r="N60">
        <v>3586500</v>
      </c>
      <c r="P60">
        <v>3048525</v>
      </c>
      <c r="Q60">
        <v>0</v>
      </c>
      <c r="R60">
        <v>3586500</v>
      </c>
      <c r="T60">
        <v>2597815.48</v>
      </c>
      <c r="U60">
        <v>2263959.5</v>
      </c>
      <c r="W60">
        <v>1425009.5</v>
      </c>
      <c r="X60">
        <v>46307</v>
      </c>
      <c r="Y60">
        <v>0.7243316548166736</v>
      </c>
      <c r="Z60">
        <v>1</v>
      </c>
    </row>
    <row r="61">
      <c r="B61" t="str">
        <v>TOTALE:</v>
      </c>
    </row>
    <row r="62">
      <c r="B62" t="str">
        <v>MINISTERO DELL’AMBIENTE</v>
      </c>
    </row>
    <row r="63">
      <c r="A63">
        <v>45</v>
      </c>
      <c r="B63" t="str">
        <v>Lavori Pubblici</v>
      </c>
      <c r="C63" t="str">
        <v xml:space="preserve"> PNRR-M2C4-I3.4 Siti orfani da riqualificare - Area Ex MacelloTecton</v>
      </c>
      <c r="D63" t="str">
        <v>J88G22000110006</v>
      </c>
      <c r="E63" t="str">
        <v>DAVIDE GIOVANNINI</v>
      </c>
      <c r="F63" t="str">
        <v>DAVIDE GIOVANNINI</v>
      </c>
      <c r="G63">
        <v>100</v>
      </c>
      <c r="H63">
        <v>46203</v>
      </c>
      <c r="I63" t="str">
        <v>VIA GALLIANO</v>
      </c>
      <c r="J63">
        <v>44.704288</v>
      </c>
      <c r="K63">
        <v>10.6244</v>
      </c>
      <c r="N63">
        <v>858381</v>
      </c>
      <c r="P63">
        <v>858381</v>
      </c>
      <c r="Q63">
        <v>0</v>
      </c>
      <c r="R63">
        <v>563233.53</v>
      </c>
      <c r="T63">
        <v>563233.53</v>
      </c>
      <c r="U63">
        <v>563233.53</v>
      </c>
      <c r="Y63">
        <v>1</v>
      </c>
      <c r="Z63">
        <v>1</v>
      </c>
    </row>
    <row r="64">
      <c r="A64">
        <v>46</v>
      </c>
      <c r="B64" t="str">
        <v>Lavori Pubblici</v>
      </c>
      <c r="C64" t="str">
        <v>PNRR-M2C4-I3.4 Siti orfani da riqualificare – Area Produttiva Polifunzionale – GOLD</v>
      </c>
      <c r="D64" t="str">
        <v>J88G22000120006</v>
      </c>
      <c r="E64" t="str">
        <v>DAVIDE GIOVANNINI</v>
      </c>
      <c r="F64" t="str">
        <v>DAVIDE GIOVANNINI</v>
      </c>
      <c r="G64">
        <v>100</v>
      </c>
      <c r="H64">
        <v>46203</v>
      </c>
      <c r="I64" t="str">
        <v xml:space="preserve">“Area ex GOLD” in via Werter Asseverati, </v>
      </c>
      <c r="J64">
        <v>44.6892</v>
      </c>
      <c r="K64">
        <v>10.724</v>
      </c>
      <c r="N64">
        <v>2087716</v>
      </c>
      <c r="P64">
        <v>2087716</v>
      </c>
      <c r="Q64">
        <v>0</v>
      </c>
      <c r="R64">
        <v>643249.4</v>
      </c>
      <c r="T64">
        <v>633985.77</v>
      </c>
      <c r="U64">
        <v>633985.77</v>
      </c>
      <c r="V64">
        <v>146314.8</v>
      </c>
      <c r="W64">
        <v>487670.97</v>
      </c>
      <c r="X64">
        <v>46294</v>
      </c>
      <c r="Y64">
        <v>1</v>
      </c>
      <c r="Z64">
        <v>1</v>
      </c>
    </row>
    <row r="65">
      <c r="B65" t="str">
        <v>TOTALE:</v>
      </c>
    </row>
    <row r="66">
      <c r="B66" t="str">
        <v>MEDIE OPERE – MINISTERO DELL’INTERNO</v>
      </c>
    </row>
    <row r="67" xml:space="preserve">
      <c r="A67">
        <v>47</v>
      </c>
      <c r="B67" t="str">
        <v>Edilizia Scolastica</v>
      </c>
      <c r="C67" t="str">
        <v>PNRR-M2C4-I2.2 Ristrutturazione con miglioramento sismico e adeguamento normativa antincendio nido ALLENDE</v>
      </c>
      <c r="D67" t="str">
        <v>J82G20000110004</v>
      </c>
      <c r="E67" t="str">
        <v>SALVATORE FALBO</v>
      </c>
      <c r="F67" t="str">
        <v>SALVATORE FALBO</v>
      </c>
      <c r="G67" t="str" xml:space="preserve">
        <v xml:space="preserve">chiedi a Claudia
(non è segnato nel file)</v>
      </c>
      <c r="I67" t="str">
        <v>VIA GATTALUPA</v>
      </c>
      <c r="J67">
        <v>44.681</v>
      </c>
      <c r="K67">
        <v>10.6637</v>
      </c>
      <c r="N67">
        <v>350000</v>
      </c>
      <c r="P67">
        <v>350000</v>
      </c>
      <c r="Q67">
        <v>0</v>
      </c>
      <c r="R67">
        <v>350000</v>
      </c>
      <c r="S67">
        <v>0</v>
      </c>
      <c r="T67">
        <v>340588.53</v>
      </c>
      <c r="U67">
        <v>340588.53</v>
      </c>
      <c r="W67">
        <v>29568.71999999997</v>
      </c>
      <c r="X67">
        <v>46294</v>
      </c>
      <c r="Y67">
        <v>0.9844820571428571</v>
      </c>
      <c r="Z67">
        <v>1</v>
      </c>
    </row>
    <row r="68">
      <c r="A68">
        <v>48</v>
      </c>
      <c r="B68" t="str">
        <v>Edilizia Scolastica</v>
      </c>
      <c r="C68" t="str">
        <v>PNRR-M2C4-I2.2 Ristrutturazione con miglioramento sismico e adeguamento normativa antincendio nido BELLELLI</v>
      </c>
      <c r="D68" t="str">
        <v>J82G19000310004</v>
      </c>
      <c r="E68" t="str">
        <v>GIORGIA LOMBARDINI</v>
      </c>
      <c r="F68" t="str">
        <v>SALVATORE FALBO</v>
      </c>
      <c r="G68">
        <v>100</v>
      </c>
      <c r="I68" t="str">
        <v xml:space="preserve">VIA G. PUCCINI, 28 </v>
      </c>
      <c r="J68">
        <v>44.69867</v>
      </c>
      <c r="K68">
        <v>10.61177</v>
      </c>
      <c r="N68">
        <v>356488.01</v>
      </c>
      <c r="P68">
        <v>350000</v>
      </c>
      <c r="Q68">
        <v>6488.01</v>
      </c>
      <c r="R68">
        <v>344592.89</v>
      </c>
      <c r="T68">
        <v>344592.89</v>
      </c>
      <c r="U68">
        <v>344592.89</v>
      </c>
      <c r="Y68">
        <v>1</v>
      </c>
      <c r="Z68">
        <v>1</v>
      </c>
    </row>
    <row r="69">
      <c r="A69">
        <v>49</v>
      </c>
      <c r="B69" t="str">
        <v>Edilizia Scolastica</v>
      </c>
      <c r="C69" t="str">
        <v>PNRR-M2C4-I2.2 Ristrutturazione e adeguamento antincendio nido scuola O. Sarzi</v>
      </c>
      <c r="D69" t="str">
        <v>J82G20000100004</v>
      </c>
      <c r="E69" t="str">
        <v>ELENA MELLONI Seguito da francesco paone Rup dovrebbe diventare falbo</v>
      </c>
      <c r="F69" t="str">
        <v>SALVATORE FALBO</v>
      </c>
      <c r="G69" t="str">
        <v>rinuncia</v>
      </c>
      <c r="H69" t="str">
        <v>rinuncia</v>
      </c>
      <c r="J69">
        <v>44.699</v>
      </c>
      <c r="K69">
        <v>10.6239</v>
      </c>
      <c r="N69">
        <v>245000</v>
      </c>
      <c r="P69">
        <v>200000</v>
      </c>
      <c r="Q69">
        <v>0</v>
      </c>
      <c r="T69">
        <v>9389.12</v>
      </c>
      <c r="U69">
        <v>9389.12</v>
      </c>
      <c r="Z69">
        <v>0</v>
      </c>
    </row>
    <row r="70" xml:space="preserve">
      <c r="A70">
        <v>50</v>
      </c>
      <c r="B70" t="str">
        <v>Mobilità/Infrastrutture</v>
      </c>
      <c r="C70" t="str">
        <v>PNRR-M2C4-I2.2 Intervento di consolidamento Ponte via Pinotti su tangenziale</v>
      </c>
      <c r="D70" t="str">
        <v>J89J20000040004</v>
      </c>
      <c r="E70" t="str">
        <v>MATTEO CHIARI</v>
      </c>
      <c r="F70" t="str">
        <v>MONTANARI</v>
      </c>
      <c r="G70" t="str" xml:space="preserve">
        <v xml:space="preserve">chiedi a Claudia
(non è segnato nel file)</v>
      </c>
      <c r="I70" t="str">
        <v xml:space="preserve">VIA PINOTTI </v>
      </c>
      <c r="J70">
        <v>44.7194</v>
      </c>
      <c r="K70">
        <v>10.6797</v>
      </c>
      <c r="N70">
        <v>140000</v>
      </c>
      <c r="P70">
        <v>140000</v>
      </c>
      <c r="Q70">
        <v>0</v>
      </c>
      <c r="R70">
        <v>140000</v>
      </c>
      <c r="S70">
        <v>0</v>
      </c>
      <c r="T70">
        <v>137470.58</v>
      </c>
      <c r="U70">
        <v>137470.58</v>
      </c>
      <c r="Y70">
        <v>0.9886831428571429</v>
      </c>
      <c r="Z70">
        <v>1</v>
      </c>
    </row>
    <row r="71">
      <c r="A71">
        <v>51</v>
      </c>
      <c r="B71" t="str">
        <v>Mobilità/Infrastrutture</v>
      </c>
      <c r="C71" t="str">
        <v>PNRR-M2C4-I2.2 Interventi di manutenzione straordinaria programmata ponti “Area Nord” - 1° lotto</v>
      </c>
      <c r="D71" t="str">
        <v>J87H20000280004</v>
      </c>
      <c r="E71" t="str">
        <v>CLAUDIA DI SANO</v>
      </c>
      <c r="F71" t="str">
        <v>CLAUDIA DI SANO</v>
      </c>
      <c r="G71">
        <v>100</v>
      </c>
      <c r="I71" t="str">
        <v>varie vie: sistemazione di ponti “Centrale” e “Nord” presenti su V.le dei Trattati di Roma.</v>
      </c>
      <c r="J71">
        <v>44.72437</v>
      </c>
      <c r="K71">
        <v>10.63161</v>
      </c>
      <c r="N71">
        <v>225000</v>
      </c>
      <c r="P71">
        <v>225000</v>
      </c>
      <c r="Q71">
        <v>0</v>
      </c>
      <c r="R71">
        <v>219611.9</v>
      </c>
      <c r="T71">
        <v>219611.9</v>
      </c>
      <c r="U71">
        <v>219611.9</v>
      </c>
      <c r="Y71">
        <v>1</v>
      </c>
      <c r="Z71">
        <v>1</v>
      </c>
    </row>
    <row r="72">
      <c r="A72">
        <v>52</v>
      </c>
      <c r="B72" t="str">
        <v>Mobilità/Infrastrutture</v>
      </c>
      <c r="C72" t="str">
        <v>PNRR-M2C4-I2.2 Interventi di manutenzione straordinaria programmata ponti “Area Nord” - 2° lotto</v>
      </c>
      <c r="D72" t="str">
        <v>J87H20000260004</v>
      </c>
      <c r="E72" t="str">
        <v>CLAUDIA DI SANO</v>
      </c>
      <c r="F72" t="str">
        <v>CLAUDIA DI SANO</v>
      </c>
      <c r="G72">
        <v>100</v>
      </c>
      <c r="I72" t="str">
        <v>varie vie: sistemazione di ponti “Centrale” e “Nord” presenti su V.le dei Trattati di Roma.</v>
      </c>
      <c r="J72">
        <v>44.72437</v>
      </c>
      <c r="K72">
        <v>10.63161</v>
      </c>
      <c r="N72">
        <v>150000</v>
      </c>
      <c r="P72">
        <v>150000</v>
      </c>
      <c r="Q72">
        <v>0</v>
      </c>
      <c r="R72">
        <v>147440.66</v>
      </c>
      <c r="T72">
        <v>147440.66</v>
      </c>
      <c r="U72">
        <v>147440.66</v>
      </c>
      <c r="Y72">
        <v>1</v>
      </c>
      <c r="Z72">
        <v>1</v>
      </c>
    </row>
    <row r="73">
      <c r="A73">
        <v>53</v>
      </c>
      <c r="B73" t="str">
        <v>Mobilità/Infrastrutture</v>
      </c>
      <c r="C73" t="str">
        <v>PNRR-M2C4-I2.2 Interventi di manutenzione straordinaria programmata ponti “Area Nord” - 3° lotto</v>
      </c>
      <c r="D73" t="str">
        <v>J87H20000240004</v>
      </c>
      <c r="E73" t="str">
        <v>MARCO LEURINI</v>
      </c>
      <c r="F73" t="str">
        <v>MARCO LEURINI</v>
      </c>
      <c r="G73">
        <v>100</v>
      </c>
      <c r="I73" t="str">
        <v>varie vie: sistemazione di ponti “Centrale” e “Nord” presenti su V.le dei Trattati di Roma.</v>
      </c>
      <c r="J73">
        <v>44.72437</v>
      </c>
      <c r="K73">
        <v>10.63161</v>
      </c>
      <c r="N73">
        <v>100000</v>
      </c>
      <c r="P73">
        <v>100000</v>
      </c>
      <c r="Q73">
        <v>0</v>
      </c>
      <c r="R73">
        <v>98132.37</v>
      </c>
      <c r="T73">
        <v>96862.05</v>
      </c>
      <c r="U73">
        <v>96862.05</v>
      </c>
      <c r="Y73">
        <v>0.9984380281450452</v>
      </c>
      <c r="Z73">
        <v>1</v>
      </c>
    </row>
    <row r="74">
      <c r="A74">
        <v>54</v>
      </c>
      <c r="B74" t="str">
        <v>Mobilità/Infrastrutture</v>
      </c>
      <c r="C74" t="str">
        <v>PNRR-M2C4-I2.2 Barriere Ponte via Asseverati</v>
      </c>
      <c r="D74" t="str">
        <v>J87H20002170001</v>
      </c>
      <c r="E74" t="str">
        <v>MARCO LEURINI</v>
      </c>
      <c r="F74" t="str">
        <v>MARCO LEURINI</v>
      </c>
      <c r="G74">
        <v>100</v>
      </c>
      <c r="I74" t="str">
        <v xml:space="preserve">VIA ASSEVERATI </v>
      </c>
      <c r="J74">
        <v>44.6892</v>
      </c>
      <c r="K74">
        <v>10.724</v>
      </c>
      <c r="N74">
        <v>30000</v>
      </c>
      <c r="P74">
        <v>30000</v>
      </c>
      <c r="Q74">
        <v>0</v>
      </c>
      <c r="R74">
        <v>29999.8</v>
      </c>
      <c r="S74">
        <v>0.2</v>
      </c>
      <c r="T74">
        <v>29999.8</v>
      </c>
      <c r="U74">
        <v>29999.8</v>
      </c>
      <c r="Y74">
        <v>1</v>
      </c>
      <c r="Z74">
        <v>1</v>
      </c>
    </row>
    <row r="75">
      <c r="A75">
        <v>55</v>
      </c>
      <c r="B75" t="str">
        <v>Mobilità/Infrastrutture</v>
      </c>
      <c r="C75" t="str">
        <v xml:space="preserve"> PNRR-M2C4-I2.2 Barriere Ponte via Marx</v>
      </c>
      <c r="D75" t="str">
        <v>J87H20002180001</v>
      </c>
      <c r="E75" t="str">
        <v>MARCO LEURINI</v>
      </c>
      <c r="F75" t="str">
        <v>MARCO LEURINI</v>
      </c>
      <c r="G75">
        <v>100</v>
      </c>
      <c r="I75" t="str">
        <v>VIA MARX</v>
      </c>
      <c r="J75">
        <v>44.7288</v>
      </c>
      <c r="K75">
        <v>10.5742</v>
      </c>
      <c r="N75">
        <v>30000</v>
      </c>
      <c r="P75">
        <v>30000</v>
      </c>
      <c r="Q75">
        <v>0</v>
      </c>
      <c r="R75">
        <v>29999.8</v>
      </c>
      <c r="S75">
        <v>0.2</v>
      </c>
      <c r="T75">
        <v>29999.8</v>
      </c>
      <c r="U75">
        <v>29999.8</v>
      </c>
      <c r="Y75">
        <v>1</v>
      </c>
      <c r="Z75">
        <v>1</v>
      </c>
    </row>
    <row r="76">
      <c r="B76" t="str">
        <v>TOTALE:</v>
      </c>
    </row>
    <row r="77">
      <c r="B77" t="str">
        <v>PICCOLE OPERE – MINISTERO DELL’INTERNO</v>
      </c>
    </row>
    <row r="78">
      <c r="A78">
        <v>56</v>
      </c>
      <c r="B78" t="str">
        <v>Edilizia Scolastica</v>
      </c>
      <c r="C78" t="str">
        <v>PNRR-M2C4-I2.2 Lavori di messa in sicurezza della pavimentazione Scuola San Giovanni Bosco (2020)</v>
      </c>
      <c r="D78" t="str">
        <v>J89E20000130005</v>
      </c>
      <c r="E78" t="str">
        <v>GIOVANNI GHERPELLI</v>
      </c>
      <c r="F78" t="str">
        <v>GIOVANNI GHERPELLI</v>
      </c>
      <c r="G78">
        <v>100</v>
      </c>
      <c r="I78" t="str">
        <v xml:space="preserve">VIA BISMANTOVA </v>
      </c>
      <c r="J78">
        <v>44.6854</v>
      </c>
      <c r="K78">
        <v>10.618</v>
      </c>
      <c r="N78">
        <v>240000</v>
      </c>
      <c r="P78">
        <v>210000</v>
      </c>
      <c r="Q78">
        <v>0</v>
      </c>
      <c r="R78">
        <v>239558.8</v>
      </c>
      <c r="S78">
        <v>441.2</v>
      </c>
      <c r="T78">
        <v>239558.8</v>
      </c>
      <c r="U78">
        <v>210000</v>
      </c>
      <c r="Y78">
        <v>1</v>
      </c>
      <c r="Z78">
        <v>1</v>
      </c>
    </row>
    <row r="79">
      <c r="A79">
        <v>57</v>
      </c>
      <c r="B79" t="str">
        <v>Lavori Pubblici</v>
      </c>
      <c r="C79" t="str">
        <v>PNRR-M2C4-I2.2 Lavori di efficientamento energetico per l'illuminazione pubblica (2021)</v>
      </c>
      <c r="D79" t="str">
        <v>J89J21004270001</v>
      </c>
      <c r="E79" t="str">
        <v>GIUSEPPE BELTRAMI</v>
      </c>
      <c r="F79" t="str">
        <v>MONTANARI</v>
      </c>
      <c r="G79">
        <v>100</v>
      </c>
      <c r="I79" t="str">
        <v>varie vie [UBICAZIONE PLURIMA – NON PUNTUALE, COORDINATE NON APPLICABILI]</v>
      </c>
      <c r="N79">
        <v>210000</v>
      </c>
      <c r="P79">
        <v>210000</v>
      </c>
      <c r="Q79">
        <v>0</v>
      </c>
      <c r="R79">
        <v>209322.78</v>
      </c>
      <c r="S79">
        <v>677.22</v>
      </c>
      <c r="T79">
        <v>209322.78</v>
      </c>
      <c r="U79">
        <v>209322.78</v>
      </c>
      <c r="Y79">
        <v>1</v>
      </c>
      <c r="Z79">
        <v>1</v>
      </c>
    </row>
    <row r="80" xml:space="preserve">
      <c r="A80">
        <v>58</v>
      </c>
      <c r="B80" t="str">
        <v>Lavori Pubblici</v>
      </c>
      <c r="C80" t="str">
        <v>PNRR-M2C4-I2.2 Interventi su impianti di pubblica illuminazione ex Enel Sole: acquisizione e efficientamento energetico (2021)</v>
      </c>
      <c r="D80" t="str">
        <v>J89J21006970001</v>
      </c>
      <c r="E80" t="str">
        <v>GIUSEPPE BELTRAMI</v>
      </c>
      <c r="F80" t="str">
        <v>MONTANARI</v>
      </c>
      <c r="G80">
        <v>100</v>
      </c>
      <c r="I80" t="str" xml:space="preserve">
        <v xml:space="preserve">varie vie: I lavori saranno esegui* nel Comune di Reggio Emilia nelle seguen* vie:
Via Foscato Via Asiago Via Tassoni Via Terrachini Via Malaguzzi Via Podgora
Via Debeli Via Vigarani Via AicardiVia Borciani Via Livi Via Caselli Via Corti [UBICAZIONE PLURIMA – NON PUNTUALE, COORDINATE NON APPLICABILI]</v>
      </c>
      <c r="N80">
        <v>210000</v>
      </c>
      <c r="P80">
        <v>210000</v>
      </c>
      <c r="Q80">
        <v>0</v>
      </c>
      <c r="R80">
        <v>208460.89</v>
      </c>
      <c r="S80">
        <v>1539.11</v>
      </c>
      <c r="T80">
        <v>208460.89</v>
      </c>
      <c r="U80">
        <v>208460.89</v>
      </c>
      <c r="Y80">
        <v>1</v>
      </c>
      <c r="Z80">
        <v>1</v>
      </c>
    </row>
    <row r="81" xml:space="preserve">
      <c r="A81">
        <v>59</v>
      </c>
      <c r="B81" t="str">
        <v>Lavori Pubblici</v>
      </c>
      <c r="C81" t="str">
        <v>PNRR-M2C4-I2.2 Riqualificazione ed efficientamento degli impianti di illuminazione di attraversamenti pedonali e contestuale riqualificazione ai fini della sicurezza stradale e mobilità sostenibile</v>
      </c>
      <c r="D81" t="str">
        <v>J86I22000110002</v>
      </c>
      <c r="E81" t="str">
        <v>URSULA MONTANARI</v>
      </c>
      <c r="F81" t="str">
        <v>URSULA MONTANARI</v>
      </c>
      <c r="G81" t="str" xml:space="preserve">
        <v xml:space="preserve">chiedi a Claudia
(non è segnato nel file)</v>
      </c>
      <c r="I81" t="str">
        <v>varie vie: L'intervento interesserà in tutto 15 attraversamenti pedonali distribuiti lungo arterie di grande traffico della città:N° 5 in viale Timavo, N° 3 in viale dei Mille, N° 3 in viale Piave, N° 2 in via Vico, N° 1 in via Newton, N° 1 in via G. Bruno. [UBICAZIONE PLURIMA – NON PUNTUALE, COORDINATE NON APPLICABILI]</v>
      </c>
      <c r="N81">
        <v>210000</v>
      </c>
      <c r="P81">
        <v>210000</v>
      </c>
      <c r="Q81">
        <v>0</v>
      </c>
      <c r="R81">
        <v>169933.63</v>
      </c>
      <c r="S81">
        <v>40066.37</v>
      </c>
      <c r="T81">
        <v>169933.63</v>
      </c>
      <c r="U81">
        <v>169933.63</v>
      </c>
      <c r="Y81">
        <v>1</v>
      </c>
      <c r="Z81">
        <v>1</v>
      </c>
    </row>
    <row r="82">
      <c r="A82">
        <v>60</v>
      </c>
      <c r="B82" t="str">
        <v>Lavori Pubblici</v>
      </c>
      <c r="C82" t="str">
        <v>PNRR-M2C4-I2.2 Centro internazionale Loris Malaguzzi - Interventi di efficientamento energetico (2023)</v>
      </c>
      <c r="D82" t="str">
        <v>J84D22002650007</v>
      </c>
      <c r="E82" t="str">
        <v>ELENA MELLONI</v>
      </c>
      <c r="F82" t="str">
        <v>SALVATORE FALBO</v>
      </c>
      <c r="G82">
        <v>100</v>
      </c>
      <c r="I82" t="str">
        <v xml:space="preserve">VIALE B. RAMAZZINI, 72/A </v>
      </c>
      <c r="J82">
        <v>44.701301</v>
      </c>
      <c r="K82">
        <v>10.645153</v>
      </c>
      <c r="N82">
        <v>236975.92</v>
      </c>
      <c r="P82">
        <v>210000</v>
      </c>
      <c r="Q82">
        <v>0</v>
      </c>
      <c r="R82">
        <v>229179.9</v>
      </c>
      <c r="S82">
        <v>7796.02</v>
      </c>
      <c r="T82">
        <v>227179.9</v>
      </c>
      <c r="U82">
        <v>200203.98</v>
      </c>
      <c r="Y82">
        <v>0.9976160649341412</v>
      </c>
      <c r="Z82">
        <v>1</v>
      </c>
    </row>
    <row r="83" xml:space="preserve">
      <c r="A83">
        <v>61</v>
      </c>
      <c r="B83" t="str">
        <v>Lavori Pubblici</v>
      </c>
      <c r="C83" t="str">
        <v>PNRR-M2C4-I2.2 Centro internazionale Loris Malaguzzi - Interventi di efficientamento energetico (2024)</v>
      </c>
      <c r="D83" t="str">
        <v>J84H22001800006</v>
      </c>
      <c r="E83" t="str">
        <v>ELENA MELLONI</v>
      </c>
      <c r="F83" t="str">
        <v>SALVATORE FALBO</v>
      </c>
      <c r="G83" t="str" xml:space="preserve">
        <v xml:space="preserve">chiedi a Claudia
(non è segnato nel file)</v>
      </c>
      <c r="I83" t="str">
        <v xml:space="preserve">VIALE B. RAMAZZINI, 72/A, </v>
      </c>
      <c r="J83">
        <v>44.701301</v>
      </c>
      <c r="K83">
        <v>10.645153</v>
      </c>
      <c r="N83">
        <v>210000</v>
      </c>
      <c r="P83">
        <v>210000</v>
      </c>
      <c r="Q83">
        <v>0</v>
      </c>
      <c r="R83">
        <v>210000</v>
      </c>
      <c r="S83">
        <v>0</v>
      </c>
      <c r="T83">
        <v>189057.23</v>
      </c>
      <c r="U83">
        <v>189057.23</v>
      </c>
      <c r="Y83">
        <v>0.9065899047619048</v>
      </c>
      <c r="Z83">
        <v>1</v>
      </c>
    </row>
    <row r="84">
      <c r="B84" t="str">
        <v>TOTALE:</v>
      </c>
    </row>
    <row r="85">
      <c r="B85" t="str">
        <v>DIPARTIMENTO PER LA TRASFORMAZIONE DIGITALE come da nota trasmessa a ottobre 2025</v>
      </c>
    </row>
    <row r="86">
      <c r="A86">
        <v>62</v>
      </c>
      <c r="B86" t="str">
        <v>Servizi Digitali</v>
      </c>
      <c r="C86" t="str">
        <v xml:space="preserve"> 1.4.3 ADOZIONE APP IO</v>
      </c>
      <c r="D86" t="str">
        <v>J81F22002400006</v>
      </c>
      <c r="E86" t="str">
        <v>ANDREA BERTANI</v>
      </c>
      <c r="F86" t="str">
        <v>ANDREA BERTANI</v>
      </c>
      <c r="G86">
        <v>100</v>
      </c>
      <c r="H86">
        <v>45485</v>
      </c>
      <c r="I86" t="str">
        <v>SENZA SEDE FISICA - idealmente sede CUED in P.zza Scapinelli 1</v>
      </c>
      <c r="J86">
        <v>44.69829</v>
      </c>
      <c r="K86">
        <v>10.63413</v>
      </c>
      <c r="N86">
        <v>9891</v>
      </c>
      <c r="P86">
        <v>9891</v>
      </c>
      <c r="Q86">
        <v>0</v>
      </c>
      <c r="U86">
        <v>9891</v>
      </c>
      <c r="V86">
        <v>9891</v>
      </c>
      <c r="Y86">
        <v>1</v>
      </c>
      <c r="Z86">
        <v>1</v>
      </c>
    </row>
    <row r="87">
      <c r="A87">
        <v>63</v>
      </c>
      <c r="B87" t="str">
        <v>Servizi Digitali</v>
      </c>
      <c r="C87" t="str">
        <v xml:space="preserve"> 1.4.3 ADOZIONE APP IO (maggio 2024)</v>
      </c>
      <c r="D87" t="str">
        <v>J81F25000020006</v>
      </c>
      <c r="E87" t="str">
        <v>ANDREA BERTANI</v>
      </c>
      <c r="F87" t="str">
        <v>ANDREA BERTANI</v>
      </c>
      <c r="G87">
        <v>100</v>
      </c>
      <c r="H87">
        <v>46112</v>
      </c>
      <c r="I87" t="str">
        <v>SENZA SEDE FISICA - idealmente sede CUED in P.zza Scapinelli 2</v>
      </c>
      <c r="J87">
        <v>44.69829</v>
      </c>
      <c r="K87">
        <v>10.63413</v>
      </c>
      <c r="N87">
        <v>21980</v>
      </c>
      <c r="P87">
        <v>21980</v>
      </c>
      <c r="Q87">
        <v>0</v>
      </c>
      <c r="U87">
        <v>21980</v>
      </c>
      <c r="V87">
        <v>21980</v>
      </c>
      <c r="Y87">
        <v>1</v>
      </c>
      <c r="Z87">
        <v>1</v>
      </c>
    </row>
    <row r="88">
      <c r="A88">
        <v>64</v>
      </c>
      <c r="B88" t="str">
        <v>Servizi Digitali</v>
      </c>
      <c r="C88" t="str">
        <v>1.4.3 ADOZIONE PIATTAFORMA pagoPA</v>
      </c>
      <c r="D88" t="str">
        <v>J81F22002730006</v>
      </c>
      <c r="E88" t="str">
        <v>ANDREA BERTANI</v>
      </c>
      <c r="F88" t="str">
        <v>ANDREA BERTANI</v>
      </c>
      <c r="G88">
        <v>100</v>
      </c>
      <c r="H88">
        <v>45199</v>
      </c>
      <c r="I88" t="str">
        <v>SENZA SEDE FISICA - idealmente sede CUED in P.zza Scapinelli 3</v>
      </c>
      <c r="J88">
        <v>44.69829</v>
      </c>
      <c r="K88">
        <v>10.63413</v>
      </c>
      <c r="N88">
        <v>93398</v>
      </c>
      <c r="P88">
        <v>93398</v>
      </c>
      <c r="Q88">
        <v>0</v>
      </c>
      <c r="U88">
        <v>93398</v>
      </c>
      <c r="Y88">
        <v>1</v>
      </c>
      <c r="Z88">
        <v>1</v>
      </c>
    </row>
    <row r="89">
      <c r="A89">
        <v>65</v>
      </c>
      <c r="B89" t="str">
        <v>Servizi Digitali</v>
      </c>
      <c r="C89" t="str">
        <v xml:space="preserve"> 1.4.3 ADOZIONE PIATTAFORMA pagoPA (maggio 2023)</v>
      </c>
      <c r="D89" t="str">
        <v>J81F23000670006</v>
      </c>
      <c r="E89" t="str">
        <v>ANDREA BERTANI</v>
      </c>
      <c r="F89" t="str">
        <v>ANDREA BERTANI</v>
      </c>
      <c r="G89">
        <v>100</v>
      </c>
      <c r="H89">
        <v>45473</v>
      </c>
      <c r="I89" t="str">
        <v>SENZA SEDE FISICA - idealmente sede CUED in P.zza Scapinelli 4</v>
      </c>
      <c r="J89">
        <v>44.69829</v>
      </c>
      <c r="K89">
        <v>10.63413</v>
      </c>
      <c r="N89">
        <v>35711</v>
      </c>
      <c r="P89">
        <v>35711</v>
      </c>
      <c r="Q89">
        <v>0</v>
      </c>
      <c r="U89">
        <v>35711</v>
      </c>
      <c r="V89">
        <v>35711</v>
      </c>
      <c r="Y89">
        <v>1</v>
      </c>
      <c r="Z89">
        <v>1</v>
      </c>
    </row>
    <row r="90">
      <c r="A90">
        <v>66</v>
      </c>
      <c r="B90" t="str">
        <v>Servizi Digitali</v>
      </c>
      <c r="C90" t="str">
        <v xml:space="preserve"> 1.4.5 PIATTAFORMA NOTIFICHE DIGITALI – COMUNI</v>
      </c>
      <c r="D90" t="str">
        <v>J81F22003920006</v>
      </c>
      <c r="E90" t="str">
        <v>ANDREA BERTANI</v>
      </c>
      <c r="F90" t="str">
        <v>ANDREA BERTANI</v>
      </c>
      <c r="G90">
        <v>100</v>
      </c>
      <c r="H90">
        <v>45107</v>
      </c>
      <c r="I90" t="str">
        <v>SENZA SEDE FISICA - idealmente sede CUED in P.zza Scapinelli 5</v>
      </c>
      <c r="J90">
        <v>44.69829</v>
      </c>
      <c r="K90">
        <v>10.63413</v>
      </c>
      <c r="N90">
        <v>69000</v>
      </c>
      <c r="P90">
        <v>69000</v>
      </c>
      <c r="Q90">
        <v>0</v>
      </c>
      <c r="U90">
        <v>69000</v>
      </c>
      <c r="V90">
        <v>69000</v>
      </c>
      <c r="Y90">
        <v>1</v>
      </c>
      <c r="Z90">
        <v>1</v>
      </c>
    </row>
    <row r="91">
      <c r="A91">
        <v>67</v>
      </c>
      <c r="B91" t="str">
        <v>Servizi Digitali</v>
      </c>
      <c r="C91" t="str">
        <v xml:space="preserve"> 1.4.1 ESPERIENZA DEL CITTADINO NEI SERVIZI PUBBLICI – COMUNI</v>
      </c>
      <c r="D91" t="str">
        <v>J81F22004370006</v>
      </c>
      <c r="E91" t="str">
        <v>ANDREA BERTANI</v>
      </c>
      <c r="F91" t="str">
        <v>ANDREA BERTANI</v>
      </c>
      <c r="G91">
        <v>100</v>
      </c>
      <c r="H91">
        <v>46111</v>
      </c>
      <c r="I91" t="str">
        <v>SENZA SEDE FISICA - idealmente sede CUED in P.zza Scapinelli 6</v>
      </c>
      <c r="J91">
        <v>44.69829</v>
      </c>
      <c r="K91">
        <v>10.63413</v>
      </c>
      <c r="N91">
        <v>516323</v>
      </c>
      <c r="P91">
        <v>516323</v>
      </c>
      <c r="Q91">
        <v>0</v>
      </c>
      <c r="T91">
        <v>424895.5</v>
      </c>
      <c r="U91">
        <v>424895.5</v>
      </c>
      <c r="Y91">
        <v>0.8229257654607678</v>
      </c>
      <c r="Z91">
        <v>1</v>
      </c>
    </row>
    <row r="92">
      <c r="A92">
        <v>68</v>
      </c>
      <c r="B92" t="str">
        <v>Servizi Digitali</v>
      </c>
      <c r="C92" t="str">
        <v>1.4.2 MIGLIORAMENTO DELL'ACCESSIBILITÀ DEI SERVIZI PUBBLICI GENERALI</v>
      </c>
      <c r="D92" t="str">
        <v>J54F24000100006</v>
      </c>
      <c r="E92" t="str">
        <v>ANDREA BERTANI</v>
      </c>
      <c r="F92" t="str">
        <v>ANDREA BERTANI</v>
      </c>
      <c r="G92">
        <v>100</v>
      </c>
      <c r="H92">
        <v>45777</v>
      </c>
      <c r="I92" t="str">
        <v>SENZA SEDE FISICA - idealmente sede CUED in P.zza Scapinelli 7</v>
      </c>
      <c r="J92">
        <v>44.69829</v>
      </c>
      <c r="K92">
        <v>10.63413</v>
      </c>
      <c r="N92">
        <v>90000</v>
      </c>
      <c r="P92">
        <v>90000</v>
      </c>
      <c r="Q92">
        <v>0</v>
      </c>
      <c r="T92">
        <v>68621.15</v>
      </c>
      <c r="U92">
        <v>68621.15</v>
      </c>
      <c r="V92">
        <v>0</v>
      </c>
      <c r="W92">
        <v>68621.15</v>
      </c>
      <c r="X92">
        <v>46233</v>
      </c>
      <c r="Y92">
        <v>0.7624572222222221</v>
      </c>
      <c r="Z92">
        <v>1</v>
      </c>
    </row>
    <row r="93">
      <c r="A93">
        <v>69</v>
      </c>
      <c r="B93" t="str">
        <v>Servizi Digitali</v>
      </c>
      <c r="C93" t="str">
        <v>1.4.4 ESTENSIONE DELL'UTILIZZO DELL'ANAGRAFE NAZIONALE DIGITALE (ANPR) - ADESIONE ALLO STATO CIVILE DIGITALE (ANSC)</v>
      </c>
      <c r="D93" t="str">
        <v>J51F24005880006</v>
      </c>
      <c r="E93" t="str">
        <v>ANDREA BERTANI</v>
      </c>
      <c r="F93" t="str">
        <v>ANDREA BERTANI</v>
      </c>
      <c r="G93">
        <v>100</v>
      </c>
      <c r="H93">
        <v>46022</v>
      </c>
      <c r="I93" t="str">
        <v>SENZA SEDE FISICA - idealmente sede CUED in P.zza Scapinelli 8</v>
      </c>
      <c r="J93">
        <v>44.69829</v>
      </c>
      <c r="K93">
        <v>10.63413</v>
      </c>
      <c r="N93">
        <v>19642</v>
      </c>
      <c r="P93">
        <v>19642</v>
      </c>
      <c r="Q93">
        <v>0</v>
      </c>
      <c r="T93">
        <v>0</v>
      </c>
      <c r="U93">
        <v>0</v>
      </c>
      <c r="Y93">
        <v>0</v>
      </c>
      <c r="Z93">
        <v>1</v>
      </c>
    </row>
    <row r="94">
      <c r="A94">
        <v>70</v>
      </c>
      <c r="B94" t="str">
        <v>Servizi Digitali</v>
      </c>
      <c r="C94" t="str">
        <v xml:space="preserve"> 1.2 “ABILITAZIONE AL CLOUD PER LE PA LOCALI” COMUNI</v>
      </c>
      <c r="D94" t="str">
        <v>J81C22001570006</v>
      </c>
      <c r="E94" t="str">
        <v>ANDREA BERTANI</v>
      </c>
      <c r="F94" t="str">
        <v>ANDREA BERTANI</v>
      </c>
      <c r="G94">
        <v>100</v>
      </c>
      <c r="H94">
        <v>45657</v>
      </c>
      <c r="I94" t="str">
        <v>SENZA SEDE FISICA - idealmente sede CUED in P.zza Scapinelli 9</v>
      </c>
      <c r="J94">
        <v>44.69829</v>
      </c>
      <c r="K94">
        <v>10.63413</v>
      </c>
      <c r="N94">
        <v>847074</v>
      </c>
      <c r="P94">
        <v>847074</v>
      </c>
      <c r="Q94">
        <v>0</v>
      </c>
      <c r="T94">
        <v>807355.96</v>
      </c>
      <c r="U94">
        <v>807355.96</v>
      </c>
      <c r="Y94">
        <v>0.9531114873080746</v>
      </c>
      <c r="Z94">
        <v>1</v>
      </c>
    </row>
    <row r="95">
      <c r="B95" t="str">
        <v>Servizi Digitali</v>
      </c>
      <c r="C95" t="str">
        <v xml:space="preserve"> 1.3.1 PIATTAFORMA DIGITALE NAZIONALE DATI COMUNI</v>
      </c>
      <c r="D95" t="str">
        <v>J51F22004260006</v>
      </c>
      <c r="E95" t="str">
        <v>ANDREA BERTANI</v>
      </c>
      <c r="F95" t="str">
        <v>ANDREA BERTANI</v>
      </c>
      <c r="G95">
        <v>100</v>
      </c>
      <c r="H95">
        <v>45291</v>
      </c>
      <c r="I95" t="str">
        <v>SENZA SEDE FISICA - idealmente sede CUED in P.zza Scapinelli 10</v>
      </c>
      <c r="J95">
        <v>44.69829</v>
      </c>
      <c r="K95">
        <v>10.63413</v>
      </c>
      <c r="N95">
        <v>203435</v>
      </c>
      <c r="P95">
        <v>203435</v>
      </c>
      <c r="Q95">
        <v>0</v>
      </c>
      <c r="U95">
        <v>203435</v>
      </c>
      <c r="Y95">
        <v>1</v>
      </c>
      <c r="Z95">
        <v>1</v>
      </c>
    </row>
    <row r="96">
      <c r="A96">
        <v>71</v>
      </c>
      <c r="B96" t="str">
        <v>Servizi Digitali</v>
      </c>
      <c r="C96" t="str">
        <v>1.3.1  PIATTAFORMA DIGITALE NAZIONALE DATI ANNCSU – COMUNI</v>
      </c>
      <c r="D96" t="str">
        <v>J41J25001340006</v>
      </c>
      <c r="F96" t="str">
        <v>ANDREA BERTANI</v>
      </c>
      <c r="G96">
        <v>100</v>
      </c>
      <c r="H96">
        <v>46112</v>
      </c>
      <c r="I96" t="str">
        <v>SENZA SEDE FISICA - idealmente sede CUED in P.zza Scapinelli 11</v>
      </c>
      <c r="J96">
        <v>44.69829</v>
      </c>
      <c r="K96">
        <v>10.63413</v>
      </c>
      <c r="N96">
        <v>73190</v>
      </c>
    </row>
    <row r="97">
      <c r="A97">
        <v>72</v>
      </c>
      <c r="B97" t="str">
        <v>Servizi Digitali</v>
      </c>
      <c r="C97" t="str">
        <v xml:space="preserve"> 1.5 “CYBERSECURITY”</v>
      </c>
      <c r="D97" t="str">
        <v>J81B24000320001</v>
      </c>
      <c r="E97" t="str">
        <v>ANDREA BERTANI</v>
      </c>
      <c r="F97" t="str">
        <v>ANDREA BERTANI</v>
      </c>
      <c r="G97">
        <v>100</v>
      </c>
      <c r="H97">
        <v>46022</v>
      </c>
      <c r="I97" t="str">
        <v>SENZA SEDE FISICA - idealmente sede CUED in P.zza Scapinelli 12</v>
      </c>
      <c r="J97">
        <v>44.69829</v>
      </c>
      <c r="K97">
        <v>10.63413</v>
      </c>
      <c r="N97">
        <v>478240</v>
      </c>
      <c r="P97">
        <v>478240</v>
      </c>
      <c r="Q97">
        <v>0</v>
      </c>
      <c r="T97">
        <v>339870.14</v>
      </c>
      <c r="U97">
        <v>339870.14</v>
      </c>
      <c r="Y97">
        <v>0.7106685764469722</v>
      </c>
      <c r="Z97">
        <v>1</v>
      </c>
    </row>
    <row r="98">
      <c r="A98">
        <v>73</v>
      </c>
      <c r="B98" t="str">
        <v>Servizi Digitali</v>
      </c>
      <c r="C98" t="str">
        <v>1.7.2 DIGITALE FACILE IN EMILIA ROMAGNA_CENTRI DI FACILITAZIONE DIGITALE</v>
      </c>
      <c r="D98" t="str">
        <v>J89E23000040006</v>
      </c>
      <c r="E98" t="str">
        <v>NICOLETTA LEVI</v>
      </c>
      <c r="F98" t="str">
        <v>NICOLETTA LEVI</v>
      </c>
      <c r="G98">
        <v>100</v>
      </c>
      <c r="H98">
        <v>46142</v>
      </c>
      <c r="I98" t="str">
        <v>SEDI VARIE DEI CENTRI DI FACILITAZIONE DIGITALE [UBICAZIONE PLURIMA – NON PUNTUALE, COORDINATE NON APPLICABILI]</v>
      </c>
      <c r="N98">
        <v>227500</v>
      </c>
      <c r="P98">
        <v>227500</v>
      </c>
      <c r="Q98">
        <v>0</v>
      </c>
      <c r="T98">
        <v>227500</v>
      </c>
      <c r="U98">
        <v>227500</v>
      </c>
      <c r="Y98">
        <v>1</v>
      </c>
      <c r="Z98">
        <v>1</v>
      </c>
    </row>
    <row r="99">
      <c r="A99">
        <v>74</v>
      </c>
      <c r="B99" t="str">
        <v>Servizi Digitali</v>
      </c>
      <c r="C99" t="str">
        <v>2.2.3 DIGITALIZZAZIONE DELLE PROCEDURE (SUAP &amp; SUE)</v>
      </c>
      <c r="D99" t="str">
        <v>J81F24000420006</v>
      </c>
      <c r="E99" t="str">
        <v>ANDREA BERTANI</v>
      </c>
      <c r="F99" t="str">
        <v>ANDREA BERTANI</v>
      </c>
      <c r="G99">
        <v>100</v>
      </c>
      <c r="H99">
        <v>45961</v>
      </c>
      <c r="I99" t="str">
        <v>SENZA SEDE FISICA - idealmente sede CUED in P.zza Scapinelli 14</v>
      </c>
      <c r="J99">
        <v>44.69829</v>
      </c>
      <c r="K99">
        <v>10.63413</v>
      </c>
      <c r="N99">
        <v>54482.39</v>
      </c>
      <c r="P99">
        <v>54482.39</v>
      </c>
      <c r="Q99">
        <v>0</v>
      </c>
      <c r="T99">
        <v>0</v>
      </c>
      <c r="U99">
        <v>0</v>
      </c>
      <c r="Y99">
        <v>0</v>
      </c>
      <c r="Z99">
        <v>1</v>
      </c>
    </row>
    <row r="100">
      <c r="A100">
        <v>75</v>
      </c>
      <c r="B100" t="str">
        <v>Servizi Digitali</v>
      </c>
      <c r="C100" t="str">
        <v>2.2.3 DIGITALIZZAZIONE DELLE PROCEDURE SUAP 2 AVVISO</v>
      </c>
      <c r="D100" t="str">
        <v>J81F26000280006</v>
      </c>
      <c r="F100" t="str">
        <v>ANDREA BERTANI</v>
      </c>
      <c r="G100">
        <v>0.4</v>
      </c>
      <c r="H100">
        <v>46387</v>
      </c>
      <c r="I100" t="str">
        <v>SENZA SEDE FISICA - idealmente sede CUED in P.zza Scapinelli 15</v>
      </c>
      <c r="J100">
        <v>44.69829</v>
      </c>
      <c r="K100">
        <v>10.63413</v>
      </c>
      <c r="N100">
        <v>15927</v>
      </c>
    </row>
    <row r="101">
      <c r="A101">
        <v>76</v>
      </c>
      <c r="B101" t="str">
        <v>Servizi Digitali</v>
      </c>
      <c r="C101" t="str">
        <v xml:space="preserve">2.2.3. DIGITALIZZAZIONE PROCEDURE SUAP ENTI TERZI 2 AVVISO </v>
      </c>
      <c r="D101" t="str">
        <v xml:space="preserve">J81F26000290006 </v>
      </c>
      <c r="F101" t="str">
        <v>ANDREA BERTANI</v>
      </c>
      <c r="G101">
        <v>0.4</v>
      </c>
      <c r="H101">
        <v>46387</v>
      </c>
      <c r="I101" t="str">
        <v>SENZA SEDE FISICA - idealmente sede CUED in P.zza Scapinelli 16</v>
      </c>
      <c r="J101">
        <v>44.69829</v>
      </c>
      <c r="K101">
        <v>10.63413</v>
      </c>
      <c r="N101">
        <v>13253</v>
      </c>
    </row>
    <row r="102">
      <c r="A102">
        <v>77</v>
      </c>
      <c r="B102" t="str">
        <v>Servizi Digitali</v>
      </c>
      <c r="C102" t="str">
        <v>2.2.3. DIGITALIZZAZIONE DELLE PROCEDURE SUE</v>
      </c>
      <c r="D102" t="str">
        <v>J41F25000630006</v>
      </c>
      <c r="F102" t="str">
        <v>ANDREA BERTANI</v>
      </c>
      <c r="G102">
        <v>1</v>
      </c>
      <c r="H102">
        <v>46112</v>
      </c>
      <c r="I102" t="str">
        <v>SENZA SEDE FISICA - idealmente sede CUED in P.zza Scapinelli 17</v>
      </c>
      <c r="J102">
        <v>44.69829</v>
      </c>
      <c r="K102">
        <v>10.63413</v>
      </c>
      <c r="N102">
        <v>64239</v>
      </c>
    </row>
    <row r="103">
      <c r="A103">
        <v>78</v>
      </c>
      <c r="B103" t="str">
        <v>Servizi Digitali</v>
      </c>
      <c r="C103" t="str">
        <v>2.3.2 INTEROPERABILITA’ SISTEMI GESTIONALI RISORSE UMANE</v>
      </c>
      <c r="D103" t="str">
        <v>J81C26000030006</v>
      </c>
      <c r="F103" t="str">
        <v>ANDREA BERTANI</v>
      </c>
      <c r="G103">
        <v>1</v>
      </c>
      <c r="H103">
        <v>46230</v>
      </c>
      <c r="I103" t="str">
        <v>SENZA SEDE FISICA - idealmente sede CUED in P.zza Scapinelli 18</v>
      </c>
      <c r="J103">
        <v>44.69829</v>
      </c>
      <c r="K103">
        <v>10.63413</v>
      </c>
      <c r="N103">
        <v>128832</v>
      </c>
    </row>
    <row r="104">
      <c r="A104">
        <v>80</v>
      </c>
      <c r="B104" t="str">
        <v>Servizi Digitali</v>
      </c>
      <c r="C104" t="str">
        <v>2.2.3 DIGITALIZZAZIONE DELLE PROCEDURE (SUAP &amp; SUE) 2025</v>
      </c>
      <c r="D104" t="str">
        <v>J81F25000400006</v>
      </c>
      <c r="E104" t="str">
        <v>ANDREA BERTANI</v>
      </c>
      <c r="F104" t="str">
        <v>ANDREA BERTANI</v>
      </c>
      <c r="G104">
        <v>100</v>
      </c>
      <c r="H104">
        <v>46035</v>
      </c>
      <c r="I104" t="str">
        <v>SENZA SEDE FISICA - idealmente sede CUED in P.zza Scapinelli 19</v>
      </c>
      <c r="J104">
        <v>44.69829</v>
      </c>
      <c r="K104">
        <v>10.63413</v>
      </c>
      <c r="N104">
        <v>53011.01</v>
      </c>
      <c r="P104">
        <v>53011.01</v>
      </c>
      <c r="Q104">
        <v>0</v>
      </c>
      <c r="T104">
        <v>0</v>
      </c>
      <c r="U104">
        <v>0</v>
      </c>
      <c r="Y104">
        <v>0</v>
      </c>
      <c r="Z104">
        <v>1</v>
      </c>
    </row>
    <row r="105">
      <c r="B105" t="str">
        <v>TOTALE:</v>
      </c>
    </row>
    <row r="106">
      <c r="B106" t="str">
        <v>DIPARTIMENTO PER LA MOBILITÀ SOSTENIBILE</v>
      </c>
    </row>
    <row r="107">
      <c r="A107">
        <v>81</v>
      </c>
      <c r="B107" t="str">
        <v>Mobilità/Infrastrutture</v>
      </c>
      <c r="C107" t="str">
        <v>Rinnovo parco autobus regionale per il trasposto pubblico con veicoli a combustibili</v>
      </c>
      <c r="D107" t="str">
        <v>H80J22000000001</v>
      </c>
      <c r="E107" t="str">
        <v>GANDOLFI</v>
      </c>
      <c r="F107" t="str">
        <v>PAOLO GANDOLFI</v>
      </c>
      <c r="G107">
        <v>100</v>
      </c>
      <c r="H107">
        <v>46203</v>
      </c>
      <c r="I107" t="str">
        <v xml:space="preserve">SETA a Reggio Emilia: Via del Chionso 50, 42122 Reggio Emilia </v>
      </c>
      <c r="J107">
        <v>44.7045</v>
      </c>
      <c r="K107">
        <v>10.65982</v>
      </c>
      <c r="N107">
        <v>8027620</v>
      </c>
      <c r="O107">
        <v>0</v>
      </c>
      <c r="P107">
        <v>8027620</v>
      </c>
      <c r="Q107">
        <v>0</v>
      </c>
      <c r="T107">
        <v>8009705.79</v>
      </c>
      <c r="U107">
        <v>8009705.79</v>
      </c>
    </row>
    <row r="108">
      <c r="B108" t="str">
        <v>TOTALE:</v>
      </c>
    </row>
    <row r="109">
      <c r="B109" t="str">
        <v>DIPARTIMENTO PER LE OPERE PUBBLICHE E LE POLITICHE ABITATIVE</v>
      </c>
    </row>
    <row r="110">
      <c r="A110">
        <v>82</v>
      </c>
      <c r="B110" t="str">
        <v>Rigenerazione Urbana</v>
      </c>
      <c r="C110" t="str">
        <v>PNRR-M5C2-I2.3 PINQUA - Economia, lavoro e innovazione</v>
      </c>
      <c r="D110" t="str">
        <v>J87H21000950005</v>
      </c>
      <c r="E110" t="str">
        <v>LEPORI</v>
      </c>
      <c r="F110" t="str">
        <v>DANIELA LEPORI</v>
      </c>
      <c r="G110">
        <v>100</v>
      </c>
      <c r="H110">
        <v>46203</v>
      </c>
      <c r="I110" t="str">
        <v xml:space="preserve">PIAZZALE EUROPA A REGGIO EMILIA, SNC (ANCORA SENZA NUMERO CIVICO) </v>
      </c>
      <c r="J110">
        <v>44.6995</v>
      </c>
      <c r="K110">
        <v>10.6426</v>
      </c>
      <c r="N110">
        <v>11900000</v>
      </c>
      <c r="O110">
        <v>7900000</v>
      </c>
      <c r="P110">
        <v>4000000</v>
      </c>
      <c r="Q110">
        <v>0</v>
      </c>
      <c r="T110">
        <v>1056681.9</v>
      </c>
    </row>
    <row r="111">
      <c r="B111" t="str">
        <v>TOTALE:</v>
      </c>
    </row>
    <row r="113">
      <c r="B113" t="str">
        <v>SOSTEGNO ALLE PERSONE  VULNERABILI E PREVENZIONE DELL'ISTITUZIONALIZZAZIONE DEGLI ANZIANI NON AUTOSUFFICIENTI  M5C2 – I1.1</v>
      </c>
    </row>
    <row r="114">
      <c r="A114">
        <v>83</v>
      </c>
      <c r="B114" t="str">
        <v>Servizi Sociali</v>
      </c>
      <c r="C114" t="str">
        <v>PNRR-M5C2-I1.1.1 Sostegno alle capacità genitoriali e prevenzione della vulnerabilità delle famiglie e dei bambini (PIPPI) (attività di PARTE CORRENTE)</v>
      </c>
      <c r="D114" t="str">
        <v>J84H22000170001</v>
      </c>
      <c r="F114" t="str">
        <v>ANTONIO COSTANTINI</v>
      </c>
      <c r="H114">
        <v>46203</v>
      </c>
      <c r="N114">
        <v>211500</v>
      </c>
      <c r="O114">
        <v>0</v>
      </c>
      <c r="P114">
        <v>211500</v>
      </c>
    </row>
    <row r="115">
      <c r="A115">
        <v>84</v>
      </c>
      <c r="B115" t="str">
        <v>Servizi Sociali</v>
      </c>
      <c r="C115" t="str">
        <v>PNRR-M5C2-I1.1.2 Assistenza domiciliare integrata (quota sociale) in alloggi per anziani non autosufficienti (attività di PARTE CORRENTE)</v>
      </c>
      <c r="D115" t="str">
        <v>J84H22001000001</v>
      </c>
      <c r="F115" t="str">
        <v>GERMANA CORRADINI</v>
      </c>
      <c r="H115">
        <v>46203</v>
      </c>
      <c r="O115">
        <v>0</v>
      </c>
      <c r="P115">
        <v>104000</v>
      </c>
      <c r="V115">
        <v>1126963.86</v>
      </c>
      <c r="W115">
        <v>708983.1299999999</v>
      </c>
      <c r="X115">
        <v>46307</v>
      </c>
      <c r="Y115">
        <v>0.7814398148066963</v>
      </c>
      <c r="Z115">
        <v>1</v>
      </c>
    </row>
    <row r="116">
      <c r="A116">
        <v>85</v>
      </c>
      <c r="B116" t="str">
        <v>Servizi Sociali</v>
      </c>
      <c r="C116" t="str">
        <v xml:space="preserve">PNRR-M5C2-I1.1.3 Rafforzamento dei servizi sociali domiciliari per garantire la dimissione anticipata assistita e prevenire l’ospedalizzazione (attività di PARTE CORRENTE) </v>
      </c>
      <c r="D116" t="str">
        <v>J89G22000030001</v>
      </c>
      <c r="F116" t="str">
        <v>GERMANA CORRADINI</v>
      </c>
      <c r="H116">
        <v>46203</v>
      </c>
      <c r="N116">
        <v>329932</v>
      </c>
      <c r="O116">
        <v>0</v>
      </c>
      <c r="P116">
        <v>329932</v>
      </c>
    </row>
    <row r="117">
      <c r="A117">
        <v>86</v>
      </c>
      <c r="B117" t="str">
        <v>Servizi Sociali</v>
      </c>
      <c r="C117" t="str">
        <v>PNRR-M5C2-I1.1.4 Rafforzamento dei servizi sociali e prevenzione del fenomeno del burn out tra gli operatori (attività di PARTE CORRENTE)</v>
      </c>
      <c r="D117" t="str">
        <v>J84I22000010001</v>
      </c>
      <c r="F117" t="str">
        <v>ANTONIO COSTANTINI</v>
      </c>
      <c r="H117">
        <v>46203</v>
      </c>
      <c r="N117">
        <v>208008</v>
      </c>
      <c r="O117">
        <v>0</v>
      </c>
      <c r="P117">
        <v>208008</v>
      </c>
    </row>
    <row r="118">
      <c r="B118" t="str">
        <v>TOTALE:</v>
      </c>
    </row>
    <row r="120">
      <c r="B120" t="str">
        <v>PERCORSI DI AUTONOMIA PER PERSONE CON DISABILITÀ M5C2 – I1.2</v>
      </c>
    </row>
    <row r="121">
      <c r="A121">
        <v>87</v>
      </c>
      <c r="B121" t="str">
        <v>Servizi Sociali</v>
      </c>
      <c r="C121" t="str">
        <v>PNRR-M5C2-I1.2 Percorsi di autonomia per persone con disabilità (Progetto Comune di Reggio) - (attività di PARTE CORRENTE - progetti individualizzati, formazione/lavoro)</v>
      </c>
      <c r="D121" t="str">
        <v>J84F22000430001</v>
      </c>
      <c r="F121" t="str">
        <v>GERMANA CORRADINI</v>
      </c>
      <c r="H121">
        <v>46203</v>
      </c>
      <c r="J121">
        <v>44.70975</v>
      </c>
      <c r="K121">
        <v>10.60827</v>
      </c>
      <c r="O121">
        <v>0</v>
      </c>
      <c r="P121">
        <v>355000</v>
      </c>
      <c r="Y121">
        <v>0.730528431372549</v>
      </c>
      <c r="Z121">
        <v>1</v>
      </c>
    </row>
    <row r="122">
      <c r="A122">
        <v>88</v>
      </c>
      <c r="B122" t="str">
        <v>Servizi Sociali</v>
      </c>
      <c r="C122" t="str">
        <v>PNRR-M5C2-I1.2 Percorsi di autonomia per persone con disabilità (Progetto Comune di Quattro Castella) (attività di PARTE CORRENTE - progetti individualizzati, formazione/lavoro) (trasferimento a Unione Colline Matildiche)</v>
      </c>
      <c r="D122" t="str">
        <v>J54F22000990001</v>
      </c>
      <c r="F122" t="str">
        <v>GERMANA CORRADINI</v>
      </c>
      <c r="H122">
        <v>46203</v>
      </c>
      <c r="O122">
        <v>0</v>
      </c>
      <c r="P122">
        <v>110980</v>
      </c>
      <c r="Y122">
        <v>0.7292529813255494</v>
      </c>
      <c r="Z122">
        <v>1</v>
      </c>
    </row>
    <row r="123">
      <c r="B123" t="str">
        <v>TOTALE:</v>
      </c>
    </row>
    <row r="125">
      <c r="B125" t="str">
        <v>HOUSING TEMPORANEO E STAZIONI DI POSTA PER LE PERSONE SENZA DIMORA M5C2 – I1.3</v>
      </c>
    </row>
    <row r="126">
      <c r="A126">
        <v>89</v>
      </c>
      <c r="B126" t="str">
        <v>Servizi Sociali</v>
      </c>
      <c r="C126" t="str">
        <v>PNRR-M5C2-I1.3 Povertà estrema – Housing first (attività di PARTE CORRENTE)</v>
      </c>
      <c r="D126" t="str">
        <v>J84H22000690001</v>
      </c>
      <c r="F126" t="str">
        <v>ANTONIO COSTANTINI</v>
      </c>
      <c r="H126">
        <v>46203</v>
      </c>
      <c r="J126">
        <v>44.6982</v>
      </c>
      <c r="K126">
        <v>10.6178</v>
      </c>
      <c r="O126">
        <v>0</v>
      </c>
      <c r="P126">
        <v>210000</v>
      </c>
      <c r="W126">
        <v>485121.76</v>
      </c>
      <c r="X126">
        <v>46307</v>
      </c>
      <c r="Y126">
        <v>0.9832700845070422</v>
      </c>
      <c r="Z126">
        <v>1</v>
      </c>
    </row>
    <row r="127">
      <c r="A127">
        <v>90</v>
      </c>
      <c r="B127" t="str">
        <v>Servizi Sociali</v>
      </c>
      <c r="C127" t="str">
        <v>PNRR-M5C2-I1.3 Povertà estrema – Stazioni di Posta/Centri servizi (attività di PARTE CORRENTE)</v>
      </c>
      <c r="D127" t="str">
        <v>J84H22000710001</v>
      </c>
      <c r="F127" t="str">
        <v>ANTONIO COSTANTINI</v>
      </c>
      <c r="H127">
        <v>46203</v>
      </c>
      <c r="J127">
        <v>44.709</v>
      </c>
      <c r="K127">
        <v>10.6087</v>
      </c>
      <c r="O127">
        <v>0</v>
      </c>
      <c r="P127">
        <v>180000</v>
      </c>
      <c r="W127">
        <v>609086.68</v>
      </c>
      <c r="X127">
        <v>46307</v>
      </c>
      <c r="Y127">
        <v>0.6749002739726028</v>
      </c>
      <c r="Z127">
        <v>1</v>
      </c>
    </row>
    <row r="128">
      <c r="B128" t="str">
        <v>TOTALE:</v>
      </c>
    </row>
    <row r="129">
      <c r="B129" t="str">
        <v>TOTALE COMPLESSIVO:</v>
      </c>
    </row>
    <row r="254">
      <c r="E254" t="str">
        <v>X</v>
      </c>
    </row>
  </sheetData>
  <autoFilter ref="B1:U65526"/>
  <mergeCells count="26">
    <mergeCell ref="B129:F129"/>
    <mergeCell ref="B113:U113"/>
    <mergeCell ref="B62:U62"/>
    <mergeCell ref="B106:U106"/>
    <mergeCell ref="B109:U109"/>
    <mergeCell ref="B125:U125"/>
    <mergeCell ref="B59:U59"/>
    <mergeCell ref="B58:F58"/>
    <mergeCell ref="B66:U66"/>
    <mergeCell ref="B105:F105"/>
    <mergeCell ref="B43:U43"/>
    <mergeCell ref="B18:U18"/>
    <mergeCell ref="B111:F111"/>
    <mergeCell ref="B48:U48"/>
    <mergeCell ref="B39:U39"/>
    <mergeCell ref="B77:U77"/>
    <mergeCell ref="B61:F61"/>
    <mergeCell ref="B2:U2"/>
    <mergeCell ref="B120:U120"/>
    <mergeCell ref="B128:F128"/>
    <mergeCell ref="B108:F108"/>
    <mergeCell ref="B118:F118"/>
    <mergeCell ref="B55:U55"/>
    <mergeCell ref="B24:U24"/>
    <mergeCell ref="B123:F123"/>
    <mergeCell ref="B85:U85"/>
  </mergeCells>
  <pageMargins left="0.7875" right="0.7875" top="1.052777777777778" bottom="1.052777777777778" header="0.7875" footer="0.7875"/>
  <ignoredErrors>
    <ignoredError numberStoredAsText="1" sqref="A1:AMX254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89"/>
  <sheetViews>
    <sheetView workbookViewId="0" rightToLeft="0"/>
  </sheetViews>
  <sheetData>
    <row r="1">
      <c r="A1" t="str">
        <v>Riga</v>
      </c>
      <c r="B1" t="str">
        <v>CUP</v>
      </c>
      <c r="C1" t="str">
        <v>Progetto</v>
      </c>
      <c r="D1" t="str">
        <v>Localizzazione originale</v>
      </c>
      <c r="E1" t="str">
        <v>Latitudine</v>
      </c>
      <c r="F1" t="str">
        <v>Longitudine</v>
      </c>
      <c r="G1" t="str">
        <v>Tipo geolocalizzazione</v>
      </c>
      <c r="H1" t="str">
        <v>Affidabilita</v>
      </c>
      <c r="I1" t="str">
        <v>Fonte / criterio</v>
      </c>
      <c r="J1" t="str">
        <v>URL fonte</v>
      </c>
      <c r="K1" t="str">
        <v>Note</v>
      </c>
      <c r="L1" t="str">
        <v>Esito</v>
      </c>
    </row>
    <row r="2" xml:space="preserve">
      <c r="A2">
        <v>7</v>
      </c>
      <c r="B2" t="str">
        <v>J87H21003250005</v>
      </c>
      <c r="C2" t="str">
        <v xml:space="preserve">PNRR-M5C2I2.1 QUARTIERE REGINA PACIS/OROLOGIO - RIQUALIFICAZIONE DEL PARCO DEL GELSO* </v>
      </c>
      <c r="D2" t="str" xml:space="preserve">
        <v xml:space="preserve">varie vie
L’area di progetto situata tra via Belgio e via Danimarca, occupa una piccola parte, lungo il confine nord, del Parco Nilde Iotti, </v>
      </c>
      <c r="E2">
        <v>44.6984</v>
      </c>
      <c r="F2">
        <v>10.6098</v>
      </c>
      <c r="G2" t="str">
        <v>Puntuale/area parco</v>
      </c>
      <c r="H2" t="str">
        <v>ALTA</v>
      </c>
      <c r="I2" t="str">
        <v>Centro rappresentativo Parco del Gelso; localizzazione coerente con area di progetto</v>
      </c>
      <c r="J2" t="str">
        <v>https://www.zampaconnect.com/area-cani/reggio-emilia/parco_del_gelso_42124_reggio_nellemilia_re</v>
      </c>
      <c r="K2" t="str">
        <v>Punto nel Parco del Gelso; intervento su area verde, non singolo edificio.</v>
      </c>
      <c r="L2" t="str">
        <v>COORDINATE INSERITE</v>
      </c>
    </row>
    <row r="3">
      <c r="A3">
        <v>10</v>
      </c>
      <c r="B3" t="str">
        <v>J84E21002020005</v>
      </c>
      <c r="C3" t="str">
        <v>PNRR-M5C2-I2.1 Riqualificazione ex Polveriera quartiere Mirabello – realizzazione del Bicilab, progetto connesso al PUMS</v>
      </c>
      <c r="D3" t="str">
        <v>PIAZZALE REVERBERI</v>
      </c>
      <c r="E3">
        <v>44.692203</v>
      </c>
      <c r="F3">
        <v>10.642396</v>
      </c>
      <c r="G3" t="str">
        <v>Puntuale</v>
      </c>
      <c r="H3" t="str">
        <v>ALTA</v>
      </c>
      <c r="I3" t="str">
        <v>Piazzale Reverberi / ex Polveriera</v>
      </c>
      <c r="J3" t="str">
        <v>https://www.openstreetmap.org/search?query=Piazzale%20Reverberi%20Reggio%20Emilia</v>
      </c>
      <c r="K3" t="str">
        <v>Punto rappresentativo del Piazzale Reverberi/Bicilab.</v>
      </c>
      <c r="L3" t="str">
        <v>COORDINATE INSERITE</v>
      </c>
    </row>
    <row r="4" xml:space="preserve">
      <c r="A4">
        <v>11</v>
      </c>
      <c r="B4" t="str">
        <v>J81B21004260005</v>
      </c>
      <c r="C4" t="str">
        <v xml:space="preserve">PNRR-M5C2-I2.1 Progetto di rigenerazione urbana del quartiere Gattaglio - nuova passerella ciclopedonale sul torrente Crostolo  </v>
      </c>
      <c r="D4" t="str" xml:space="preserve">
        <v xml:space="preserve">varie vie
Passerella di collegamento tra il quartiere del Gattaglio ad est del torrente Crostolo con il quartiere Regina Pacis ad ovest</v>
      </c>
      <c r="E4">
        <v>44.69505</v>
      </c>
      <c r="F4">
        <v>10.61947</v>
      </c>
      <c r="G4" t="str">
        <v>Puntuale</v>
      </c>
      <c r="H4" t="str">
        <v>ALTA</v>
      </c>
      <c r="I4" t="str">
        <v>Ponte/passarella del Gattaglio sul Crostolo</v>
      </c>
      <c r="J4" t="str">
        <v>https://mapcarta.com/search?q=Ponte%20del%20Gattaglio%20Reggio%20Emilia</v>
      </c>
      <c r="K4" t="str">
        <v>Coordinate del ponte/passerella in area Gattaglio.</v>
      </c>
      <c r="L4" t="str">
        <v>COORDINATE INSERITE</v>
      </c>
    </row>
    <row r="5" xml:space="preserve">
      <c r="A5">
        <v>12</v>
      </c>
      <c r="B5" t="str">
        <v>J81B21004040005</v>
      </c>
      <c r="C5" t="str" xml:space="preserve">
        <v xml:space="preserve">PNRR-M5C2-I2.1 Riqualificazione e sicurezza della via Emilia a Pieve Modolena e Cella – completamento della ciclovia 1 ovest 
MISSIONE M5</v>
      </c>
      <c r="D5" t="str" xml:space="preserve">
        <v xml:space="preserve">varie vie
 via Emilia all’interno delle frazioni di Cella (pista ciclopedonale lungo il lato nord della via Emilia nel tratto compreso tra via Spartaco e via Guardanavona), Cadè  (Villa Cadè, adiacente al lato nord della via Emilia compreso tra via Quercioli e via Palladio) e Gaida (adiacente al lato nord della via Emilia tra via Casel di Ferro e la fine del centro abitato)</v>
      </c>
      <c r="E5">
        <v>44.736</v>
      </c>
      <c r="F5">
        <v>10.5261</v>
      </c>
      <c r="G5" t="str">
        <v>Rappresentativo lineare</v>
      </c>
      <c r="H5" t="str">
        <v>BASSA</v>
      </c>
      <c r="I5" t="str">
        <v>Centroide rappresentativo del tratto Cella-Cade-Gaida ricavato dalle localita attraversate</v>
      </c>
      <c r="J5" t="str">
        <v>https://mapcarta.com/18708310</v>
      </c>
      <c r="K5" t="str">
        <v>Intervento lineare esteso: usare in futuro una geometria LineString; il punto serve solo come marker CUP.</v>
      </c>
      <c r="L5" t="str">
        <v>COORDINATE INSERITE</v>
      </c>
    </row>
    <row r="6">
      <c r="A6">
        <v>13</v>
      </c>
      <c r="B6" t="str">
        <v>J81B21004250001</v>
      </c>
      <c r="C6" t="str">
        <v>PNRR-M5C2-I2.1 Riqualificazione urbana della Zona Annonaria e pista ciclabile su via Don Giovanni Verità</v>
      </c>
      <c r="D6" t="str">
        <v>VIA DON GIOVANNI VERITA'</v>
      </c>
      <c r="E6">
        <v>44.7143</v>
      </c>
      <c r="F6">
        <v>10.6105</v>
      </c>
      <c r="G6" t="str">
        <v>Rappresentativo su via</v>
      </c>
      <c r="H6" t="str">
        <v>MEDIA</v>
      </c>
      <c r="I6" t="str">
        <v>Centro della Via Don Giovanni Verita</v>
      </c>
      <c r="J6" t="str">
        <v>https://distanzechilometriche.net/mappa/reggio-nell-emilia/via-don-giovanni-verita/</v>
      </c>
      <c r="K6" t="str">
        <v>Intervento lungo la via; coordinata rappresentativa, non civico puntuale.</v>
      </c>
      <c r="L6" t="str">
        <v>COORDINATE INSERITE</v>
      </c>
    </row>
    <row r="7" xml:space="preserve">
      <c r="A7">
        <v>14</v>
      </c>
      <c r="B7" t="str">
        <v>J89J21004570001</v>
      </c>
      <c r="C7" t="str">
        <v>PNRR-M5C2-I2.1 Riqualificazione e rigenerazione urbana del quadrante nord-est del centro storico di Reggio – strada della cultura</v>
      </c>
      <c r="D7" t="str" xml:space="preserve">
        <v xml:space="preserve">varie vie
 quadrante nord-est del centro storico che collega il piazzale Marconi, porta di accesso alla città dalla stazione ferroviaria, alla piazza della Vittoria</v>
      </c>
      <c r="E7">
        <v>44.69911</v>
      </c>
      <c r="F7">
        <v>10.63659</v>
      </c>
      <c r="G7" t="str">
        <v>Rappresentativo lineare</v>
      </c>
      <c r="H7" t="str">
        <v>BASSA</v>
      </c>
      <c r="I7" t="str">
        <v>Punto medio approssimato tra Stazione FS/Piazzale Marconi e Piazza della Vittoria</v>
      </c>
      <c r="J7" t="str">
        <v>https://distanzechilometriche.net/mappa/reggio-nell-emilia/piazza-della-vittoria/</v>
      </c>
      <c r="K7" t="str">
        <v>Strada della Cultura: marker al centro del corridoio; preferibile una LineString nella mappa finale.</v>
      </c>
      <c r="L7" t="str">
        <v>COORDINATE INSERITE</v>
      </c>
    </row>
    <row r="8">
      <c r="A8">
        <v>15</v>
      </c>
      <c r="B8" t="str">
        <v>J83D21000920001</v>
      </c>
      <c r="C8" t="str">
        <v>PNRR-M5C2-I2.1 Riqualificazione e rigenerazione urbana del quadrante nord-est del centro storico di Reggio – riqualificazione degli orti di Santa Chiara</v>
      </c>
      <c r="E8">
        <v>44.70141</v>
      </c>
      <c r="F8">
        <v>10.62855</v>
      </c>
      <c r="G8" t="str">
        <v>Puntuale/area</v>
      </c>
      <c r="H8" t="str">
        <v>ALTA</v>
      </c>
      <c r="I8" t="str">
        <v>Area Orti di Santa Chiara tra Teatro Cavallerizza e Spazio Gerra</v>
      </c>
      <c r="J8" t="str">
        <v>https://www.comune.reggioemilia.it/argomenti/attuazione-misure-pnrr/missione-5/pnrr-m5c2-i2-1-riqualificazione-e-rigenerazione-urbana-del-quadrante-nord-est-del-centro-storico-di-reggio-2013-riqualificazione-degli-orti-di-santa-chiara-1</v>
      </c>
      <c r="K8" t="str">
        <v>Punto centrale dell area descritta dal Comune tra Cavallerizza e Spazio Gerra.</v>
      </c>
      <c r="L8" t="str">
        <v>COORDINATE INSERITE</v>
      </c>
    </row>
    <row r="9">
      <c r="A9">
        <v>16</v>
      </c>
      <c r="B9" t="str">
        <v>J81B21004060001</v>
      </c>
      <c r="C9" t="str">
        <v>PNRR-M5C2-I2.1 Barriere antirumore in via Inghilterra</v>
      </c>
      <c r="D9" t="str">
        <v>VIA INGHILTERRA</v>
      </c>
      <c r="E9">
        <v>44.6811</v>
      </c>
      <c r="F9">
        <v>10.6052</v>
      </c>
      <c r="G9" t="str">
        <v>Rappresentativo su via</v>
      </c>
      <c r="H9" t="str">
        <v>MEDIA</v>
      </c>
      <c r="I9" t="str">
        <v>Centro della Via Inghilterra</v>
      </c>
      <c r="J9" t="str">
        <v>https://www.italiamappe.it/stradario/reggio-nell%27emilia/</v>
      </c>
      <c r="K9" t="str">
        <v>Barriere antirumore lungo la via: punto rappresentativo.</v>
      </c>
      <c r="L9" t="str">
        <v>COORDINATE INSERITE</v>
      </c>
    </row>
    <row r="10">
      <c r="A10">
        <v>19</v>
      </c>
      <c r="B10" t="str">
        <v>J84E21002010005</v>
      </c>
      <c r="C10" t="str">
        <v>PNRR-M5C2-I2.1 Piano di Riqualificazione Urbana quartiere popolare Compagnoni – riqualificazione ex scuole Villaggio Catellani per nuovo centro sociale/sede AUSER</v>
      </c>
      <c r="D10" t="str">
        <v>VIA COMPAGNONI</v>
      </c>
      <c r="E10">
        <v>44.6864</v>
      </c>
      <c r="F10">
        <v>10.6144</v>
      </c>
      <c r="G10" t="str">
        <v>Rappresentativo su via</v>
      </c>
      <c r="H10" t="str">
        <v>MEDIA</v>
      </c>
      <c r="I10" t="str">
        <v>Centro della Via Compagnoni</v>
      </c>
      <c r="J10" t="str">
        <v>https://www.italiamappe.it/stradario/reggio-nell%27emilia/</v>
      </c>
      <c r="K10" t="str">
        <v>Riqualificazione ex scuole nel quartiere Compagnoni; punto su via.</v>
      </c>
      <c r="L10" t="str">
        <v>COORDINATE INSERITE</v>
      </c>
    </row>
    <row r="11" xml:space="preserve">
      <c r="A11">
        <v>20</v>
      </c>
      <c r="B11" t="str">
        <v>J81B21004290005</v>
      </c>
      <c r="C11" t="str">
        <v>PNRR-M5C2-I2.1 Quartiere Ospizio/San Lazzaro – nuovo sottopasso ciclopedonale nel parco Campo di Marte</v>
      </c>
      <c r="D11" t="str" xml:space="preserve">
        <v xml:space="preserve">varie vie
Superamento dell’asse ferroviario regionale Reggio Sassuolo in corrispondenza dei due parchi urbani denominati “Campo di Marte1” e “Campo di Marte 2” attualmente separati n modo invalicabile dalla linea ferroviaria</v>
      </c>
      <c r="E11">
        <v>44.6888</v>
      </c>
      <c r="F11">
        <v>10.6512</v>
      </c>
      <c r="G11" t="str">
        <v>Puntuale/area parco</v>
      </c>
      <c r="H11" t="str">
        <v>MEDIA</v>
      </c>
      <c r="I11" t="str">
        <v>Area Campo di Marte tra Via Cellini e linea Reggio-Sassuolo</v>
      </c>
      <c r="J11" t="str">
        <v>https://www.comune.reggioemilia.it/argomenti/attuazione-misure-pnrr</v>
      </c>
      <c r="K11" t="str">
        <v>Punto rappresentativo dei parchi Campo di Marte 1 e 2 presso il sottopasso.</v>
      </c>
      <c r="L11" t="str">
        <v>COORDINATE INSERITE</v>
      </c>
    </row>
    <row r="12" xml:space="preserve">
      <c r="A12">
        <v>21</v>
      </c>
      <c r="B12" t="str">
        <v>J81B21004050005</v>
      </c>
      <c r="C12" t="str">
        <v>PNRR-M5C2-I2.1 Riqualificazione e rigenerazione urbana del quadrante nord-est del centro storico di Reggio – sottopasso ciclopedonale alla ferrovia storica Milano-Bologna</v>
      </c>
      <c r="D12" t="str" xml:space="preserve">
        <v xml:space="preserve">varie vie
 realizzazione del nuovo sottopasso ciclopedonale tra via Roma e via Regina Margherita.</v>
      </c>
      <c r="E12">
        <v>44.7048</v>
      </c>
      <c r="F12">
        <v>10.6375</v>
      </c>
      <c r="G12" t="str">
        <v>Rappresentativo opera</v>
      </c>
      <c r="H12" t="str">
        <v>MEDIA</v>
      </c>
      <c r="I12" t="str">
        <v>Asse Via Roma - Viale Regina Margherita in corrispondenza della ferrovia</v>
      </c>
      <c r="J12" t="str">
        <v>https://www.comune.reggioemilia.it/argomenti/attuazione-misure-pnrr/progetti-stralciati-dal-pnrr/pnrr-m5c2-i2-1-riqualificazione-e-rigenerazione-urbana-del-quadrante-nord-est-del-centro-storico-di-reggio-2013-sottopasso-ciclopedonale-alla-ferrovia-storica-milano-bologna</v>
      </c>
      <c r="K12" t="str">
        <v>Punto stimato sull asse del sottopasso; posizione rappresentativa dell opera.</v>
      </c>
      <c r="L12" t="str">
        <v>COORDINATE INSERITE</v>
      </c>
    </row>
    <row r="13" xml:space="preserve">
      <c r="A13">
        <v>22</v>
      </c>
      <c r="B13" t="str">
        <v>J81B21004030005</v>
      </c>
      <c r="C13" t="str">
        <v>PNRR-M5C2-I2.1 Riqualificazione e ricucitura urbana dei quartieri Ospizio/San Lazzaro – nuovo cavalcaferrovia ciclopedonale tra il Campus San Lazzaro e il nuovo parco dello sport</v>
      </c>
      <c r="D13" t="str" xml:space="preserve">
        <v xml:space="preserve">varie vie
connessione tra il Campus San Lazzaro e la Via Emilia a sud e il sistema dei parchi e dell’Arena del Campovolo a nord, L’opera si colloca a circa 150 metri a ovest della stazione di Reggio Emilia San Lazzaro, in continuità con uno degli assi nord-sud strutturanti l’area storica di San Lazzaro (compreso tra il padiglione De Sanctis e il padiglione Besta) con ingresso diretto e riconoscibile dalla Via Emilia.</v>
      </c>
      <c r="E13">
        <v>44.69</v>
      </c>
      <c r="F13">
        <v>10.6651</v>
      </c>
      <c r="G13" t="str">
        <v>Rappresentativo opera</v>
      </c>
      <c r="H13" t="str">
        <v>MEDIA</v>
      </c>
      <c r="I13" t="str">
        <v>Circa 150 m a ovest della stazione Reggio Emilia San Lazzaro, come da descrizione progetto</v>
      </c>
      <c r="J13" t="str">
        <v>https://www.wikidata.org/wiki/Special:Search?search=Reggio%20Emilia%20San%20Lazzaro%20station</v>
      </c>
      <c r="K13" t="str">
        <v>Derivato dalla posizione della stazione e dalla distanza indicata nel progetto.</v>
      </c>
      <c r="L13" t="str">
        <v>COORDINATE INSERITE</v>
      </c>
    </row>
    <row r="14">
      <c r="A14">
        <v>27</v>
      </c>
      <c r="B14" t="str">
        <v>J84E22000210006</v>
      </c>
      <c r="C14" t="str">
        <v>PNRR-M4C1–I1.2 SP Boiardo Bagno: nuova mensa con ampliamento edificio esistente</v>
      </c>
      <c r="D14" t="str">
        <v>VIA LASAGNI 5/A</v>
      </c>
      <c r="E14">
        <v>44.6409</v>
      </c>
      <c r="F14">
        <v>10.7371</v>
      </c>
      <c r="G14" t="str">
        <v>Rappresentativo su via</v>
      </c>
      <c r="H14" t="str">
        <v>MEDIA</v>
      </c>
      <c r="I14" t="str">
        <v>Via Lasagni, localita Bagno</v>
      </c>
      <c r="J14" t="str">
        <v>https://www.italiamappe.it/stradario/reggio-nell%27emilia/</v>
      </c>
      <c r="K14" t="str">
        <v>Punto rappresentativo della via; verificare il civico 5/A in caso di uso tecnico di precisione.</v>
      </c>
      <c r="L14" t="str">
        <v>COORDINATE INSERITE</v>
      </c>
    </row>
    <row r="15">
      <c r="A15">
        <v>31</v>
      </c>
      <c r="B15" t="str">
        <v>J88I22000420001</v>
      </c>
      <c r="C15" t="str">
        <v>PNRR-M4C1-I1.1 NIDO SOLE: riqualificazione messa in sicurezza</v>
      </c>
      <c r="D15" t="str">
        <v>VIA CARAVAGGIO, 2</v>
      </c>
      <c r="E15">
        <v>44.68618</v>
      </c>
      <c r="F15">
        <v>10.65208</v>
      </c>
      <c r="G15" t="str">
        <v>Puntuale</v>
      </c>
      <c r="H15" t="str">
        <v>ALTA</v>
      </c>
      <c r="I15" t="str">
        <v>Nido Sole, Via Caravaggio 2</v>
      </c>
      <c r="J15" t="str">
        <v>https://www.comune.reggioemilia.it/argomenti/istituzione-scuole-e-nidi-dinfanzia</v>
      </c>
      <c r="K15" t="str">
        <v>Coordinate edificio/area scolastica.</v>
      </c>
      <c r="L15" t="str">
        <v>COORDINATE INSERITE</v>
      </c>
    </row>
    <row r="16">
      <c r="A16">
        <v>33</v>
      </c>
      <c r="B16" t="str">
        <v>J88I22000300006</v>
      </c>
      <c r="C16" t="str">
        <v>PNRR-M4C1-I1.1 NIDO PETER PAN: riqualificazione messa in sicurezza</v>
      </c>
      <c r="D16" t="str">
        <v>VIA PRADARENA, 14</v>
      </c>
      <c r="E16">
        <v>44.6854</v>
      </c>
      <c r="F16">
        <v>10.6195</v>
      </c>
      <c r="G16" t="str">
        <v>Puntuale stimato</v>
      </c>
      <c r="H16" t="str">
        <v>MEDIA</v>
      </c>
      <c r="I16" t="str">
        <v>Nido Peter Pan, Via Pradarena 14; posizione ricostruita da POI e viabilita circostante</v>
      </c>
      <c r="J16" t="str">
        <v>https://www.comune.reggioemilia.it/argomenti/istituzione-scuole-e-nidi-dinfanzia/nidi-dinfanzia/nidi-comunali-e-convenzionati/peterpan</v>
      </c>
      <c r="K16" t="str">
        <v>Indirizzo ufficiale; coordinata ricostruita sull edificio/area del nido.</v>
      </c>
      <c r="L16" t="str">
        <v>COORDINATE INSERITE</v>
      </c>
    </row>
    <row r="17">
      <c r="A17">
        <v>34</v>
      </c>
      <c r="B17" t="str">
        <v>J88I22000310006</v>
      </c>
      <c r="C17" t="str">
        <v xml:space="preserve"> PNRR-M4C1-I1.1 NIDO G. CERVI: riqualificazione messa in sicurezza</v>
      </c>
      <c r="D17" t="str">
        <v>VIA RENATO FUCINI, 1</v>
      </c>
      <c r="E17">
        <v>44.6728</v>
      </c>
      <c r="F17">
        <v>10.6148</v>
      </c>
      <c r="G17" t="str">
        <v>Puntuale stimato</v>
      </c>
      <c r="H17" t="str">
        <v>MEDIA</v>
      </c>
      <c r="I17" t="str">
        <v>Nido Genoeffa Cervi, Via Renato Fucini 1</v>
      </c>
      <c r="J17" t="str">
        <v>https://www.comune.reggioemilia.it/argomenti/istituzione-scuole-e-nidi-dinfanzia</v>
      </c>
      <c r="K17" t="str">
        <v>POI del nido in prossimita del riferimento cartografico Casino Bacchi.</v>
      </c>
      <c r="L17" t="str">
        <v>COORDINATE INSERITE</v>
      </c>
    </row>
    <row r="18">
      <c r="A18">
        <v>35</v>
      </c>
      <c r="B18" t="str">
        <v>J88I22000340006</v>
      </c>
      <c r="C18" t="str">
        <v xml:space="preserve">PNRR-M4C1-I1.1 POLO PER L’INFANZIA (NIDO RIVIERI/SI CLAUDEL): riqualificazione messa in sicurezza </v>
      </c>
      <c r="D18" t="str">
        <v>VIA HONORÉ DE BALZAC, 2</v>
      </c>
      <c r="E18">
        <v>44.6928</v>
      </c>
      <c r="F18">
        <v>10.6078</v>
      </c>
      <c r="G18" t="str">
        <v>Rappresentativo su via</v>
      </c>
      <c r="H18" t="str">
        <v>MEDIA</v>
      </c>
      <c r="I18" t="str">
        <v>Polo Rivieri/Claudel, Via H. de Balzac 2</v>
      </c>
      <c r="J18" t="str">
        <v>https://www.comune.reggioemilia.it/argomenti/istituzione-scuole-e-nidi-dinfanzia/nidi-scuole/rivieri</v>
      </c>
      <c r="K18" t="str">
        <v>Indirizzo ufficiale; coordinata rappresentativa della via.</v>
      </c>
      <c r="L18" t="str">
        <v>COORDINATE INSERITE</v>
      </c>
    </row>
    <row r="19">
      <c r="A19">
        <v>36</v>
      </c>
      <c r="B19" t="str">
        <v>J88I22000330006</v>
      </c>
      <c r="C19" t="str">
        <v>PNRR-M4C1-I1.1 POLO PER L’INFANZIA (NIDO IOTTI/SI AGORA’): riqualificazione messa in sicurezza</v>
      </c>
      <c r="D19" t="str">
        <v xml:space="preserve">VIA FRATELLI BANDIERA,12C </v>
      </c>
      <c r="E19">
        <v>44.706521</v>
      </c>
      <c r="F19">
        <v>10.595695</v>
      </c>
      <c r="G19" t="str">
        <v>Puntuale</v>
      </c>
      <c r="H19" t="str">
        <v>ALTA</v>
      </c>
      <c r="I19" t="str">
        <v>Nido Nilde Iotti / Polo Agora, Via Fratelli Bandiera 12C</v>
      </c>
      <c r="J19" t="str">
        <v>https://censimentoarchitetturecontemporanee.cultura.gov.it/scheda-opera?id=4862</v>
      </c>
      <c r="K19" t="str">
        <v>Coordinate pubblicate nel Censimento delle architetture contemporanee del Ministero della Cultura.</v>
      </c>
      <c r="L19" t="str">
        <v>COORDINATE INSERITE</v>
      </c>
    </row>
    <row r="20">
      <c r="A20">
        <v>37</v>
      </c>
      <c r="B20" t="str">
        <v>J81B22002240006</v>
      </c>
      <c r="C20" t="str">
        <v>PNRR-M4C1-I1.1 Polo dell'Infanzia al parco Ottavi</v>
      </c>
      <c r="D20" t="str">
        <v xml:space="preserve">PARCO OTTAVI </v>
      </c>
      <c r="E20">
        <v>44.700631</v>
      </c>
      <c r="F20">
        <v>10.599942</v>
      </c>
      <c r="G20" t="str">
        <v>Puntuale/area parco</v>
      </c>
      <c r="H20" t="str">
        <v>ALTA</v>
      </c>
      <c r="I20" t="str">
        <v>Parco Nilde Iotti (gia Parco Ottavi)</v>
      </c>
      <c r="J20" t="str">
        <v>https://www.comune.reggioemilia.it/argomenti/mobilita/progetti/reggio-emilia-citta-dei-sentieri/i-sentieri/anello-alex-langer/documenti-allegati/punti-di-interesse.pdf</v>
      </c>
      <c r="K20" t="str">
        <v>Punto rappresentativo dell area del Parco Ottavi/Nilde Iotti.</v>
      </c>
      <c r="L20" t="str">
        <v>COORDINATE INSERITE</v>
      </c>
    </row>
    <row r="21">
      <c r="A21">
        <v>40</v>
      </c>
      <c r="B21" t="str">
        <v>J85B22000350005</v>
      </c>
      <c r="C21" t="str">
        <v xml:space="preserve"> PNRR-M5C2-I3.1 Nuova cittadella dello Sport di Masone</v>
      </c>
      <c r="D21" t="str">
        <v>VIA MANZOTTI 1</v>
      </c>
      <c r="E21">
        <v>44.6865</v>
      </c>
      <c r="F21">
        <v>10.7093</v>
      </c>
      <c r="G21" t="str">
        <v>Rappresentativo su via</v>
      </c>
      <c r="H21" t="str">
        <v>ALTA</v>
      </c>
      <c r="I21" t="str">
        <v>Coordinate verificate Comune RE (Ottobre 2026)</v>
      </c>
      <c r="J21" t="str">
        <v>https://www.italiamappe.it/stradario/reggio-nell%27emilia/</v>
      </c>
      <c r="K21" t="str">
        <v>Punto rappresentativo della via per la nuova Cittadella dello Sport.</v>
      </c>
      <c r="L21" t="str">
        <v>COORDINATE INSERITE</v>
      </c>
    </row>
    <row r="22">
      <c r="A22">
        <v>41</v>
      </c>
      <c r="B22" t="str">
        <v>J82H22000530005</v>
      </c>
      <c r="C22" t="str">
        <v xml:space="preserve"> PNRR-M5C2-I3.1 Riqualificazione stadio Mirabello</v>
      </c>
      <c r="D22" t="str">
        <v xml:space="preserve">VIA MATTEOTTI 11 </v>
      </c>
      <c r="E22">
        <v>44.69327</v>
      </c>
      <c r="F22">
        <v>10.64129</v>
      </c>
      <c r="G22" t="str">
        <v>Puntuale</v>
      </c>
      <c r="H22" t="str">
        <v>ALTA</v>
      </c>
      <c r="I22" t="str">
        <v>Stadio Mirabello</v>
      </c>
      <c r="J22" t="str">
        <v>https://mapcarta.com/search?q=Stadio%20Mirabello%20Reggio%20Emilia</v>
      </c>
      <c r="K22" t="str">
        <v>Centro dello stadio; il civico pubblico ricorrente e Via Giacomo Matteotti 2.</v>
      </c>
      <c r="L22" t="str">
        <v>COORDINATE INSERITE</v>
      </c>
    </row>
    <row r="23" xml:space="preserve">
      <c r="A23">
        <v>44</v>
      </c>
      <c r="B23" t="str">
        <v>J89J22002390001</v>
      </c>
      <c r="C23" t="str">
        <v>PNRR-M2C2-I4.1 Completamento ciclovia 1 e 2 S. Lazzaro-centro città</v>
      </c>
      <c r="D23" t="str" xml:space="preserve">
        <v xml:space="preserve">ZONA EST- S.LAZZARO- CENTRO 
 È stata data continuità alla ciclovia 1 est, con la creazione di una ciclabile in sede propria, ed è stata ridisegnata la ciclovia 2 in Via Cialdini. </v>
      </c>
      <c r="E23">
        <v>44.69381</v>
      </c>
      <c r="F23">
        <v>10.65515</v>
      </c>
      <c r="G23" t="str">
        <v>Rappresentativo lineare</v>
      </c>
      <c r="H23" t="str">
        <v>BASSA</v>
      </c>
      <c r="I23" t="str">
        <v>Punto medio rappresentativo del collegamento San Lazzaro-centro</v>
      </c>
      <c r="J23" t="str">
        <v>https://www.comune.reggioemilia.it/argomenti/mobilita</v>
      </c>
      <c r="K23" t="str">
        <v>Intervento ciclabile lineare: usare una LineString quando disponibile.</v>
      </c>
      <c r="L23" t="str">
        <v>COORDINATE INSERITE</v>
      </c>
    </row>
    <row r="24" xml:space="preserve">
      <c r="A24">
        <v>45</v>
      </c>
      <c r="B24" t="str">
        <v>J89J22002400001</v>
      </c>
      <c r="C24" t="str">
        <v>PNRR-M2C2-I4.1 Realizzazione superciclabile stazione Mediopadana – confine comunale</v>
      </c>
      <c r="D24" t="str" xml:space="preserve">
        <v xml:space="preserve">ZONA NORD : da via Filangeri a via Bovio in fregio a via Gramsci;da via don Leuratti a via Raffaello;ratto ciclabile in prossimità del collegamento alla ciclabile del PuA6 (che collega Mancasale da est a ovest all’altezza dello stabilimento Ognibene);
i tratti ciclabili delle vie Majorana, Raffaello, Bovio e di Vittorio.</v>
      </c>
      <c r="E24">
        <v>44.7301</v>
      </c>
      <c r="F24">
        <v>10.645</v>
      </c>
      <c r="G24" t="str">
        <v>Rappresentativo lineare</v>
      </c>
      <c r="H24" t="str">
        <v>BASSA</v>
      </c>
      <c r="I24" t="str">
        <v>Tratto nord presso Via Filangieri/Gramsci</v>
      </c>
      <c r="J24" t="str">
        <v>https://www.italiamappe.it/stradario/reggio-nell%27emilia/</v>
      </c>
      <c r="K24" t="str">
        <v>Superciclabile estesa: marker rappresentativo del corridoio nord.</v>
      </c>
      <c r="L24" t="str">
        <v>COORDINATE INSERITE</v>
      </c>
    </row>
    <row r="25">
      <c r="A25">
        <v>46</v>
      </c>
      <c r="B25" t="str">
        <v>J81B21000270001</v>
      </c>
      <c r="C25" t="str">
        <v xml:space="preserve">PNRR-M2C2-I4.1 Superciclabile sud - realizzazione di nuova rete ciclabile tra Rivalta e Mancasale - 1° Stralcio  </v>
      </c>
      <c r="D25" t="str">
        <v>varie vie: unire più velocemente le ampie zone residenziali a sud, da Via Conforti a Rivalta, con le aree produttive di Mancasale a nord e Via Filangieri.</v>
      </c>
      <c r="E25">
        <v>44.695</v>
      </c>
      <c r="F25">
        <v>10.62</v>
      </c>
      <c r="G25" t="str">
        <v>Rappresentativo lineare</v>
      </c>
      <c r="H25" t="str">
        <v>BASSA</v>
      </c>
      <c r="I25" t="str">
        <v>Punto rappresentativo del corridoio Rivalta-Mancasale</v>
      </c>
      <c r="J25" t="str">
        <v>https://www.comune.reggioemilia.it/argomenti/mobilita</v>
      </c>
      <c r="K25" t="str">
        <v>Superciclabile molto estesa: marker di sintesi; preferibile geometria lineare.</v>
      </c>
      <c r="L25" t="str">
        <v>COORDINATE INSERITE</v>
      </c>
    </row>
    <row r="26">
      <c r="A26">
        <v>50</v>
      </c>
      <c r="B26" t="str">
        <v>J84F22000430001</v>
      </c>
      <c r="C26" t="str">
        <v>PNRR-M5C2-I1.2 Realizzazione di abitazioni per gruppi di persone con disabilità e predisposizione di strumenti e tecnologie di domotica e interazione a distanza presso l’immobile sito in via Mazzini, 6 piano sesto (Progetto Comune di Reggio)</v>
      </c>
      <c r="D26" t="str">
        <v>COMUNE DI REGGIO EMILIA - riqualificazione di due abitazioni situate in via Mazzini (di proprietà di Asp Reggio Emilia Città delle persone) e in via Brigata Reggio (di proprietà di Farmacie comunali riunite</v>
      </c>
      <c r="E26">
        <v>44.70975</v>
      </c>
      <c r="F26">
        <v>10.60827</v>
      </c>
      <c r="G26" t="str">
        <v>Rappresentativo multi-sito</v>
      </c>
      <c r="H26" t="str">
        <v>MEDIA</v>
      </c>
      <c r="I26" t="str">
        <v>Uno dei due immobili del CUP: Via Brigata Reggio 30; l altro e Via Mazzini 6</v>
      </c>
      <c r="J26" t="str">
        <v>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v>
      </c>
      <c r="K26" t="str">
        <v>CUP multisito. Il marker rappresenta Via Brigata Reggio 30; mantenere nota dei due immobili.</v>
      </c>
      <c r="L26" t="str">
        <v>COORDINATE INSERITE</v>
      </c>
    </row>
    <row r="27">
      <c r="A27">
        <v>52</v>
      </c>
      <c r="B27" t="str">
        <v>J84H22000690001</v>
      </c>
      <c r="C27" t="str">
        <v xml:space="preserve">PNRR-M5C2-I1.3 Riconversione di strutture di accoglienza in mini alloggi con spazi e servizi comuni presso l’immobile sito in via Dalmazia n. 85  </v>
      </c>
      <c r="D27" t="str">
        <v>COMUNE DI REGGIO EMILIA - ATS REGGIO EMILIA via Dalmazia n. 85</v>
      </c>
      <c r="E27">
        <v>44.6982</v>
      </c>
      <c r="F27">
        <v>10.6178</v>
      </c>
      <c r="G27" t="str">
        <v>Rappresentativo su via</v>
      </c>
      <c r="H27" t="str">
        <v>BASSA</v>
      </c>
      <c r="I27" t="str">
        <v>Via Dalmazia; riferimento cartografico prossimo al civico 85</v>
      </c>
      <c r="J27" t="str">
        <v>https://www.blia.it/in/96982-46178</v>
      </c>
      <c r="K27" t="str">
        <v>Il riferimento disponibile e per Via Dalmazia 101; il civico 85 e prossimo ma va verificato per uso di precisione.</v>
      </c>
      <c r="L27" t="str">
        <v>COORDINATE INSERITE</v>
      </c>
    </row>
    <row r="28">
      <c r="A28">
        <v>53</v>
      </c>
      <c r="B28" t="str">
        <v>J84H22000710001</v>
      </c>
      <c r="C28" t="str">
        <v>PNRR-M5C2-I1.3 Realizzazione di centri servizi per persone di marginalità anche estrema e senza dimora presso l’immobile sito in via Kennedy n.15-17</v>
      </c>
      <c r="D28" t="str">
        <v>COMUNE DI REGGIO EMILIA - ATS REGGIO EMILIA  o in via Kennedy n.15-17</v>
      </c>
      <c r="E28">
        <v>44.709</v>
      </c>
      <c r="F28">
        <v>10.6087</v>
      </c>
      <c r="G28" t="str">
        <v>Rappresentativo su via</v>
      </c>
      <c r="H28" t="str">
        <v>MEDIA</v>
      </c>
      <c r="I28" t="str">
        <v>Via John Fitzgerald Kennedy, area civici 15-17</v>
      </c>
      <c r="J28" t="str">
        <v>https://www.italiamappe.it/stradario/reggio-nell%27emilia/via-john-fitzgerald-kennedy/</v>
      </c>
      <c r="K28" t="str">
        <v>Coordinate rappresentative del tratto di Via Kennedy; indirizzo 15-17 confermato da fonti pubbliche.</v>
      </c>
      <c r="L28" t="str">
        <v>COORDINATE INSERITE</v>
      </c>
    </row>
    <row r="29">
      <c r="A29">
        <v>56</v>
      </c>
      <c r="B29" t="str">
        <v>J87B22000800006</v>
      </c>
      <c r="C29" t="str">
        <v>PNRR-M1C3-I1.2 Rimozione delle barriere fisiche e cognitive – Palazzo dei Musei</v>
      </c>
      <c r="D29" t="str">
        <v xml:space="preserve">VIA LAZZARO SPALLANZANI 1 </v>
      </c>
      <c r="E29">
        <v>44.700042</v>
      </c>
      <c r="F29">
        <v>10.632056</v>
      </c>
      <c r="G29" t="str">
        <v>Puntuale</v>
      </c>
      <c r="H29" t="str">
        <v>ALTA</v>
      </c>
      <c r="I29" t="str">
        <v>Palazzo dei Musei, Via Lazzaro Spallanzani 1</v>
      </c>
      <c r="J29" t="str">
        <v>https://cultura.gov.it/luogo/palazzo-dei-musei-reggio-emilia</v>
      </c>
      <c r="K29" t="str">
        <v>Coordinate del Palazzo dei Musei/edificio.</v>
      </c>
      <c r="L29" t="str">
        <v>COORDINATE INSERITE</v>
      </c>
    </row>
    <row r="30">
      <c r="A30">
        <v>57</v>
      </c>
      <c r="B30" t="str">
        <v>J87B22000800006</v>
      </c>
      <c r="C30" t="str">
        <v>PNRR-M1C3-I1.2 Rimozione delle barriere fisiche e cognitive – Palazzo dei Musei (spesa corrente)</v>
      </c>
      <c r="E30">
        <v>44.700042</v>
      </c>
      <c r="F30">
        <v>10.632056</v>
      </c>
      <c r="G30" t="str">
        <v>Propagata per CUP</v>
      </c>
      <c r="H30" t="str">
        <v>ALTA</v>
      </c>
      <c r="I30" t="str">
        <v>Stesso CUP e stesso sito fisico della riga 56</v>
      </c>
      <c r="J30" t="str">
        <v>https://cultura.gov.it/luogo/palazzo-dei-musei-reggio-emilia</v>
      </c>
      <c r="K30" t="str">
        <v>Riga di spesa corrente collegata allo stesso CUP e al medesimo edificio.</v>
      </c>
      <c r="L30" t="str">
        <v>COORDINATE INSERITE</v>
      </c>
    </row>
    <row r="31">
      <c r="A31">
        <v>62</v>
      </c>
      <c r="B31" t="str">
        <v>J88G22000120006</v>
      </c>
      <c r="C31" t="str">
        <v>PNRR-M2C4-I3.4 Siti orfani da riqualificare – Area Produttiva Polifunzionale – GOLD</v>
      </c>
      <c r="D31" t="str">
        <v xml:space="preserve">“Area ex GOLD” in via Werter Asseverati, </v>
      </c>
      <c r="E31">
        <v>44.6892</v>
      </c>
      <c r="F31">
        <v>10.724</v>
      </c>
      <c r="G31" t="str">
        <v>Rappresentativo su via</v>
      </c>
      <c r="H31" t="str">
        <v>MEDIA</v>
      </c>
      <c r="I31" t="str">
        <v>Via Werter Asseverati / area ex GOLD</v>
      </c>
      <c r="J31" t="str">
        <v>https://www.italiamappe.it/stradario/reggio-nell%27emilia/</v>
      </c>
      <c r="K31" t="str">
        <v>Punto rappresentativo lungo Via Asseverati; area produttiva est.</v>
      </c>
      <c r="L31" t="str">
        <v>COORDINATE INSERITE</v>
      </c>
    </row>
    <row r="32" xml:space="preserve">
      <c r="A32">
        <v>65</v>
      </c>
      <c r="B32" t="str">
        <v>J82G20000110004</v>
      </c>
      <c r="C32" t="str" xml:space="preserve">
        <v xml:space="preserve">PNRR-M2C4-I2.2 Ristrutturazione con miglioramento sismico e adeguamento normativa antincendio nido ALLENDE
MISSIONE 2</v>
      </c>
      <c r="D32" t="str">
        <v>VIA GATTALUPA</v>
      </c>
      <c r="E32">
        <v>44.681</v>
      </c>
      <c r="F32">
        <v>10.6637</v>
      </c>
      <c r="G32" t="str">
        <v>Puntuale stimato</v>
      </c>
      <c r="H32" t="str">
        <v>MEDIA</v>
      </c>
      <c r="I32" t="str">
        <v>Nido Allende, Via Gattalupa 5</v>
      </c>
      <c r="J32" t="str">
        <v>https://www.provincia.re.it/</v>
      </c>
      <c r="K32" t="str">
        <v>Indirizzo ufficiale; punto ricostruito dai civici adiacenti della stessa via.</v>
      </c>
      <c r="L32" t="str">
        <v>COORDINATE INSERITE</v>
      </c>
    </row>
    <row r="33" xml:space="preserve">
      <c r="A33">
        <v>66</v>
      </c>
      <c r="B33" t="str">
        <v>J82G19000310004</v>
      </c>
      <c r="C33" t="str" xml:space="preserve">
        <v xml:space="preserve">PNRR-M2C4-I2.2 Ristrutturazione con miglioramento sismico e adeguamento normativa antincendio nido BELLELLI
MISSIONE 2</v>
      </c>
      <c r="D33" t="str">
        <v xml:space="preserve">VIA G. PUCCINI, 28 </v>
      </c>
      <c r="E33">
        <v>44.69867</v>
      </c>
      <c r="F33">
        <v>10.61177</v>
      </c>
      <c r="G33" t="str">
        <v>Puntuale</v>
      </c>
      <c r="H33" t="str">
        <v>ALTA</v>
      </c>
      <c r="I33" t="str">
        <v>Nido Bellelli, Via G. Puccini 28</v>
      </c>
      <c r="J33" t="str">
        <v>https://www.reteimprese.it/</v>
      </c>
      <c r="K33" t="str">
        <v>Coordinata associata al civico 28.</v>
      </c>
      <c r="L33" t="str">
        <v>COORDINATE INSERITE</v>
      </c>
    </row>
    <row r="34">
      <c r="A34">
        <v>67</v>
      </c>
      <c r="B34" t="str">
        <v>J82G20000100004</v>
      </c>
      <c r="C34" t="str">
        <v>PNRR-M2C4-I2.2 Ristrutturazione e adeguamento antincendio nido scuola O. Sarzi</v>
      </c>
      <c r="E34">
        <v>44.699</v>
      </c>
      <c r="F34">
        <v>10.6239</v>
      </c>
      <c r="G34" t="str">
        <v>Puntuale</v>
      </c>
      <c r="H34" t="str">
        <v>ALTA</v>
      </c>
      <c r="I34" t="str">
        <v>Nido scuola O. Sarzi, Via Guasco 10</v>
      </c>
      <c r="J34" t="str">
        <v>https://www.blia.it/</v>
      </c>
      <c r="K34" t="str">
        <v>Coordinate del civico/edificio.</v>
      </c>
      <c r="L34" t="str">
        <v>COORDINATE INSERITE</v>
      </c>
    </row>
    <row r="35">
      <c r="A35">
        <v>68</v>
      </c>
      <c r="B35" t="str">
        <v>J89J20000040004</v>
      </c>
      <c r="C35" t="str">
        <v>PNRR-M2C4-I2.2 Intervento di consolidamento Ponte via Pinotti su tangenziale</v>
      </c>
      <c r="D35" t="str">
        <v xml:space="preserve">VIA PINOTTI </v>
      </c>
      <c r="E35">
        <v>44.7194</v>
      </c>
      <c r="F35">
        <v>10.6797</v>
      </c>
      <c r="G35" t="str">
        <v>Rappresentativo su via</v>
      </c>
      <c r="H35" t="str">
        <v>MEDIA</v>
      </c>
      <c r="I35" t="str">
        <v>Via Pinotti</v>
      </c>
      <c r="J35" t="str">
        <v>https://www.italiamappe.it/stradario/reggio-nell%27emilia/</v>
      </c>
      <c r="K35" t="str">
        <v>Punto rappresentativo del ponte su Via Pinotti/tangenziale.</v>
      </c>
      <c r="L35" t="str">
        <v>COORDINATE INSERITE</v>
      </c>
    </row>
    <row r="36">
      <c r="A36">
        <v>69</v>
      </c>
      <c r="B36" t="str">
        <v>J87H20000280004</v>
      </c>
      <c r="C36" t="str">
        <v>PNRR-M2C4-I2.2 Interventi di manutenzione straordinaria programmata ponti “Area Nord” - 1° lotto</v>
      </c>
      <c r="D36" t="str">
        <v>varie vie: sistemazione di ponti “Centrale” e “Nord” presenti su V.le dei Trattati di Roma.</v>
      </c>
      <c r="E36">
        <v>44.72437</v>
      </c>
      <c r="F36">
        <v>10.63161</v>
      </c>
      <c r="G36" t="str">
        <v>Rappresentativo lineare</v>
      </c>
      <c r="H36" t="str">
        <v>BASSA</v>
      </c>
      <c r="I36" t="str">
        <v>Viale dei Trattati di Roma, area nord</v>
      </c>
      <c r="J36" t="str">
        <v>https://www.mappepercorsi.it/genova-montecavolo-pianificatore-di-itinerario-google-google-map/</v>
      </c>
      <c r="K36" t="str">
        <v>Lotto ponti Area Nord: punto rappresentativo sul viale; non distingue il singolo manufatto.</v>
      </c>
      <c r="L36" t="str">
        <v>COORDINATE INSERITE</v>
      </c>
    </row>
    <row r="37">
      <c r="A37">
        <v>70</v>
      </c>
      <c r="B37" t="str">
        <v>J87H20000260004</v>
      </c>
      <c r="C37" t="str">
        <v>PNRR-M2C4-I2.2 Interventi di manutenzione straordinaria programmata ponti “Area Nord” - 2° lotto</v>
      </c>
      <c r="D37" t="str">
        <v>varie vie: sistemazione di ponti “Centrale” e “Nord” presenti su V.le dei Trattati di Roma.</v>
      </c>
      <c r="E37">
        <v>44.72437</v>
      </c>
      <c r="F37">
        <v>10.63161</v>
      </c>
      <c r="G37" t="str">
        <v>Rappresentativo lineare</v>
      </c>
      <c r="H37" t="str">
        <v>BASSA</v>
      </c>
      <c r="I37" t="str">
        <v>Viale dei Trattati di Roma, area nord</v>
      </c>
      <c r="J37" t="str">
        <v>https://www.mappepercorsi.it/genova-montecavolo-pianificatore-di-itinerario-google-google-map/</v>
      </c>
      <c r="K37" t="str">
        <v>Lotto ponti Area Nord: punto rappresentativo sul viale; non distingue il singolo manufatto.</v>
      </c>
      <c r="L37" t="str">
        <v>COORDINATE INSERITE</v>
      </c>
    </row>
    <row r="38">
      <c r="A38">
        <v>71</v>
      </c>
      <c r="B38" t="str">
        <v>J87H20000240004</v>
      </c>
      <c r="C38" t="str">
        <v>PNRR-M2C4-I2.2 Interventi di manutenzione straordinaria programmata ponti “Area Nord” - 3° lotto</v>
      </c>
      <c r="D38" t="str">
        <v>varie vie: sistemazione di ponti “Centrale” e “Nord” presenti su V.le dei Trattati di Roma.</v>
      </c>
      <c r="E38">
        <v>44.72437</v>
      </c>
      <c r="F38">
        <v>10.63161</v>
      </c>
      <c r="G38" t="str">
        <v>Rappresentativo lineare</v>
      </c>
      <c r="H38" t="str">
        <v>BASSA</v>
      </c>
      <c r="I38" t="str">
        <v>Viale dei Trattati di Roma, area nord</v>
      </c>
      <c r="J38" t="str">
        <v>https://www.mappepercorsi.it/genova-montecavolo-pianificatore-di-itinerario-google-google-map/</v>
      </c>
      <c r="K38" t="str">
        <v>Lotto ponti Area Nord: punto rappresentativo sul viale; non distingue il singolo manufatto.</v>
      </c>
      <c r="L38" t="str">
        <v>COORDINATE INSERITE</v>
      </c>
    </row>
    <row r="39">
      <c r="A39">
        <v>72</v>
      </c>
      <c r="B39" t="str">
        <v>J87H20002170001</v>
      </c>
      <c r="C39" t="str">
        <v>PNRR-M2C4-I2.2 Barriere Ponte via Asseverati</v>
      </c>
      <c r="D39" t="str">
        <v xml:space="preserve">VIA ASSEVERATI </v>
      </c>
      <c r="E39">
        <v>44.6892</v>
      </c>
      <c r="F39">
        <v>10.724</v>
      </c>
      <c r="G39" t="str">
        <v>Rappresentativo su via</v>
      </c>
      <c r="H39" t="str">
        <v>MEDIA</v>
      </c>
      <c r="I39" t="str">
        <v>Via Werter Asseverati</v>
      </c>
      <c r="J39" t="str">
        <v>https://www.italiamappe.it/stradario/reggio-nell%27emilia/</v>
      </c>
      <c r="K39" t="str">
        <v>Punto rappresentativo del ponte/barriere lungo Via Asseverati.</v>
      </c>
      <c r="L39" t="str">
        <v>COORDINATE INSERITE</v>
      </c>
    </row>
    <row r="40">
      <c r="A40">
        <v>73</v>
      </c>
      <c r="B40" t="str">
        <v>J87H20002180001</v>
      </c>
      <c r="C40" t="str">
        <v xml:space="preserve"> PNRR-M2C4-I2.2 Barriere Ponte via Marx</v>
      </c>
      <c r="D40" t="str">
        <v>VIA MARX</v>
      </c>
      <c r="E40">
        <v>44.7288</v>
      </c>
      <c r="F40">
        <v>10.5742</v>
      </c>
      <c r="G40" t="str">
        <v>Puntuale/area</v>
      </c>
      <c r="H40" t="str">
        <v>ALTA</v>
      </c>
      <c r="I40" t="str">
        <v>Via Karl Marx, riferimento cartografico da documentazione territoriale</v>
      </c>
      <c r="J40" t="str">
        <v>https://www.slideshare.net/slideshow/cre02-presentazione-sia-rp-rev-b/40194553</v>
      </c>
      <c r="K40" t="str">
        <v>Coordinate WGS84 pubblicate per punti di monitoraggio su Via Karl Marx; usate come riferimento dell opera.</v>
      </c>
      <c r="L40" t="str">
        <v>COORDINATE INSERITE</v>
      </c>
    </row>
    <row r="41" xml:space="preserve">
      <c r="A41">
        <v>76</v>
      </c>
      <c r="B41" t="str">
        <v>J89E20000130005</v>
      </c>
      <c r="C41" t="str" xml:space="preserve">
        <v xml:space="preserve">PNRR-M2C4-I2.2 Lavori di messa in sicurezza della pavimentazione Scuola San Giovanni Bosco (2020) 
MISSIONE 2</v>
      </c>
      <c r="D41" t="str">
        <v xml:space="preserve">VIA BISMANTOVA </v>
      </c>
      <c r="E41">
        <v>44.6854</v>
      </c>
      <c r="F41">
        <v>10.618</v>
      </c>
      <c r="G41" t="str">
        <v>Puntuale</v>
      </c>
      <c r="H41" t="str">
        <v>ALTA</v>
      </c>
      <c r="I41" t="str">
        <v>Scuola San Giovanni Bosco, Via Bismantova 23</v>
      </c>
      <c r="J41" t="str">
        <v>https://www.comune.reggioemilia.it/</v>
      </c>
      <c r="K41" t="str">
        <v>Coordinate del civico/edificio scolastico.</v>
      </c>
      <c r="L41" t="str">
        <v>COORDINATE INSERITE</v>
      </c>
    </row>
    <row r="42">
      <c r="A42">
        <v>80</v>
      </c>
      <c r="B42" t="str">
        <v>J84D22002650007</v>
      </c>
      <c r="C42" t="str">
        <v>PNRR-M2C4-I2.2 Centro internazionale Loris Malaguzzi - Interventi di efficientamento energetico (2023)</v>
      </c>
      <c r="D42" t="str">
        <v xml:space="preserve">VIALE B. RAMAZZINI, 72/A </v>
      </c>
      <c r="E42">
        <v>44.701301</v>
      </c>
      <c r="F42">
        <v>10.645153</v>
      </c>
      <c r="G42" t="str">
        <v>Puntuale</v>
      </c>
      <c r="H42" t="str">
        <v>ALTA</v>
      </c>
      <c r="I42" t="str">
        <v>Centro Internazionale Loris Malaguzzi, Viale Ramazzini 72/A</v>
      </c>
      <c r="J42" t="str">
        <v>https://censimentoarchitetturecontemporanee.cultura.gov.it/</v>
      </c>
      <c r="K42" t="str">
        <v>Coordinate pubblicate in banca dati culturale; indirizzo confermato dal Comune.</v>
      </c>
      <c r="L42" t="str">
        <v>COORDINATE INSERITE</v>
      </c>
    </row>
    <row r="43">
      <c r="A43">
        <v>81</v>
      </c>
      <c r="B43" t="str">
        <v>J84H22001800006</v>
      </c>
      <c r="C43" t="str">
        <v>PNRR-M2C4-I2.2 Centro internazionale Loris Malaguzzi - Interventi di efficientamento energetico (2024)</v>
      </c>
      <c r="D43" t="str">
        <v xml:space="preserve">VIALE B. RAMAZZINI, 72/A, </v>
      </c>
      <c r="E43">
        <v>44.701301</v>
      </c>
      <c r="F43">
        <v>10.645153</v>
      </c>
      <c r="G43" t="str">
        <v>Puntuale</v>
      </c>
      <c r="H43" t="str">
        <v>ALTA</v>
      </c>
      <c r="I43" t="str">
        <v>Centro Internazionale Loris Malaguzzi, Viale Ramazzini 72/A</v>
      </c>
      <c r="J43" t="str">
        <v>https://censimentoarchitetturecontemporanee.cultura.gov.it/</v>
      </c>
      <c r="K43" t="str">
        <v>Stesso edificio della riga 80.</v>
      </c>
      <c r="L43" t="str">
        <v>COORDINATE INSERITE</v>
      </c>
    </row>
    <row r="44">
      <c r="A44">
        <v>84</v>
      </c>
      <c r="B44" t="str">
        <v>J81F22002400006</v>
      </c>
      <c r="C44" t="str">
        <v xml:space="preserve"> 1.4.3 ADOZIONE APP IO</v>
      </c>
      <c r="D44" t="str">
        <v>SENZA SEDE FISICA - idealmente sede CUED in P.zza Scapinelli 1</v>
      </c>
      <c r="E44">
        <v>44.69829</v>
      </c>
      <c r="F44">
        <v>10.63413</v>
      </c>
      <c r="G44" t="str">
        <v>Convenzionale</v>
      </c>
      <c r="H44" t="str">
        <v>CONVENZIONALE</v>
      </c>
      <c r="I44" t="str">
        <v>Sede CUED/Sistemi Informativi, Piazza Pietro Scapinelli 2</v>
      </c>
      <c r="J44" t="str">
        <v>https://www.comune.reggioemilia.it/</v>
      </c>
      <c r="K44" t="str">
        <v>Progetto digitale senza sede fisica: localizzazione convenzionale presso CUED.</v>
      </c>
      <c r="L44" t="str">
        <v>COORDINATE INSERITE</v>
      </c>
    </row>
    <row r="45">
      <c r="A45">
        <v>85</v>
      </c>
      <c r="B45" t="str">
        <v>J81F25000020006</v>
      </c>
      <c r="C45" t="str">
        <v xml:space="preserve"> 1.4.3 ADOZIONE APP IO (maggio 2024)</v>
      </c>
      <c r="D45" t="str">
        <v>SENZA SEDE FISICA - idealmente sede CUED in P.zza Scapinelli 2</v>
      </c>
      <c r="E45">
        <v>44.69829</v>
      </c>
      <c r="F45">
        <v>10.63413</v>
      </c>
      <c r="G45" t="str">
        <v>Convenzionale</v>
      </c>
      <c r="H45" t="str">
        <v>CONVENZIONALE</v>
      </c>
      <c r="I45" t="str">
        <v>Sede CUED/Sistemi Informativi, Piazza Pietro Scapinelli 2</v>
      </c>
      <c r="J45" t="str">
        <v>https://www.comune.reggioemilia.it/</v>
      </c>
      <c r="K45" t="str">
        <v>Progetto digitale senza sede fisica: localizzazione convenzionale presso CUED.</v>
      </c>
      <c r="L45" t="str">
        <v>COORDINATE INSERITE</v>
      </c>
    </row>
    <row r="46">
      <c r="A46">
        <v>86</v>
      </c>
      <c r="B46" t="str">
        <v>J81F22002730006</v>
      </c>
      <c r="C46" t="str">
        <v>1.4.3 ADOZIONE PIATTAFORMA pagoPA</v>
      </c>
      <c r="D46" t="str">
        <v>SENZA SEDE FISICA - idealmente sede CUED in P.zza Scapinelli 3</v>
      </c>
      <c r="E46">
        <v>44.69829</v>
      </c>
      <c r="F46">
        <v>10.63413</v>
      </c>
      <c r="G46" t="str">
        <v>Convenzionale</v>
      </c>
      <c r="H46" t="str">
        <v>CONVENZIONALE</v>
      </c>
      <c r="I46" t="str">
        <v>Sede CUED/Sistemi Informativi, Piazza Pietro Scapinelli 2</v>
      </c>
      <c r="J46" t="str">
        <v>https://www.comune.reggioemilia.it/</v>
      </c>
      <c r="K46" t="str">
        <v>Progetto digitale senza sede fisica: localizzazione convenzionale presso CUED.</v>
      </c>
      <c r="L46" t="str">
        <v>COORDINATE INSERITE</v>
      </c>
    </row>
    <row r="47">
      <c r="A47">
        <v>87</v>
      </c>
      <c r="B47" t="str">
        <v>J81F23000670006</v>
      </c>
      <c r="C47" t="str">
        <v xml:space="preserve"> 1.4.3 ADOZIONE PIATTAFORMA pagoPA (maggio 2023)</v>
      </c>
      <c r="D47" t="str">
        <v>SENZA SEDE FISICA - idealmente sede CUED in P.zza Scapinelli 4</v>
      </c>
      <c r="E47">
        <v>44.69829</v>
      </c>
      <c r="F47">
        <v>10.63413</v>
      </c>
      <c r="G47" t="str">
        <v>Convenzionale</v>
      </c>
      <c r="H47" t="str">
        <v>CONVENZIONALE</v>
      </c>
      <c r="I47" t="str">
        <v>Sede CUED/Sistemi Informativi, Piazza Pietro Scapinelli 2</v>
      </c>
      <c r="J47" t="str">
        <v>https://www.comune.reggioemilia.it/</v>
      </c>
      <c r="K47" t="str">
        <v>Progetto digitale senza sede fisica: localizzazione convenzionale presso CUED.</v>
      </c>
      <c r="L47" t="str">
        <v>COORDINATE INSERITE</v>
      </c>
    </row>
    <row r="48">
      <c r="A48">
        <v>88</v>
      </c>
      <c r="B48" t="str">
        <v>J81F22003920006</v>
      </c>
      <c r="C48" t="str">
        <v xml:space="preserve"> 1.4.5 PIATTAFORMA NOTIFICHE DIGITALI – COMUNI</v>
      </c>
      <c r="D48" t="str">
        <v>SENZA SEDE FISICA - idealmente sede CUED in P.zza Scapinelli 5</v>
      </c>
      <c r="E48">
        <v>44.69829</v>
      </c>
      <c r="F48">
        <v>10.63413</v>
      </c>
      <c r="G48" t="str">
        <v>Convenzionale</v>
      </c>
      <c r="H48" t="str">
        <v>CONVENZIONALE</v>
      </c>
      <c r="I48" t="str">
        <v>Sede CUED/Sistemi Informativi, Piazza Pietro Scapinelli 2</v>
      </c>
      <c r="J48" t="str">
        <v>https://www.comune.reggioemilia.it/</v>
      </c>
      <c r="K48" t="str">
        <v>Progetto digitale senza sede fisica: localizzazione convenzionale presso CUED.</v>
      </c>
      <c r="L48" t="str">
        <v>COORDINATE INSERITE</v>
      </c>
    </row>
    <row r="49">
      <c r="A49">
        <v>89</v>
      </c>
      <c r="B49" t="str">
        <v>J81F22004370006</v>
      </c>
      <c r="C49" t="str">
        <v xml:space="preserve"> 1.4.1 ESPERIENZA DEL CITTADINO NEI SERVIZI PUBBLICI – COMUNI</v>
      </c>
      <c r="D49" t="str">
        <v>SENZA SEDE FISICA - idealmente sede CUED in P.zza Scapinelli 6</v>
      </c>
      <c r="E49">
        <v>44.69829</v>
      </c>
      <c r="F49">
        <v>10.63413</v>
      </c>
      <c r="G49" t="str">
        <v>Convenzionale</v>
      </c>
      <c r="H49" t="str">
        <v>CONVENZIONALE</v>
      </c>
      <c r="I49" t="str">
        <v>Sede CUED/Sistemi Informativi, Piazza Pietro Scapinelli 2</v>
      </c>
      <c r="J49" t="str">
        <v>https://www.comune.reggioemilia.it/</v>
      </c>
      <c r="K49" t="str">
        <v>Progetto digitale senza sede fisica: localizzazione convenzionale presso CUED.</v>
      </c>
      <c r="L49" t="str">
        <v>COORDINATE INSERITE</v>
      </c>
    </row>
    <row r="50">
      <c r="A50">
        <v>90</v>
      </c>
      <c r="B50" t="str">
        <v>J54F24000100006</v>
      </c>
      <c r="C50" t="str">
        <v>1.4.2 MIGLIORAMENTO DELL'ACCESSIBILITÀ DEI SERVIZI PUBBLICI GENERALI</v>
      </c>
      <c r="D50" t="str">
        <v>SENZA SEDE FISICA - idealmente sede CUED in P.zza Scapinelli 7</v>
      </c>
      <c r="E50">
        <v>44.69829</v>
      </c>
      <c r="F50">
        <v>10.63413</v>
      </c>
      <c r="G50" t="str">
        <v>Convenzionale</v>
      </c>
      <c r="H50" t="str">
        <v>CONVENZIONALE</v>
      </c>
      <c r="I50" t="str">
        <v>Sede CUED/Sistemi Informativi, Piazza Pietro Scapinelli 2</v>
      </c>
      <c r="J50" t="str">
        <v>https://www.comune.reggioemilia.it/</v>
      </c>
      <c r="K50" t="str">
        <v>Progetto digitale senza sede fisica: localizzazione convenzionale presso CUED.</v>
      </c>
      <c r="L50" t="str">
        <v>COORDINATE INSERITE</v>
      </c>
    </row>
    <row r="51">
      <c r="A51">
        <v>91</v>
      </c>
      <c r="B51" t="str">
        <v>J51F24005880006</v>
      </c>
      <c r="C51" t="str">
        <v>1.4.4 ESTENSIONE DELL'UTILIZZO DELL'ANAGRAFE NAZIONALE DIGITALE (ANPR) - ADESIONE ALLO STATO CIVILE DIGITALE (ANSC)</v>
      </c>
      <c r="D51" t="str">
        <v>SENZA SEDE FISICA - idealmente sede CUED in P.zza Scapinelli 8</v>
      </c>
      <c r="E51">
        <v>44.69829</v>
      </c>
      <c r="F51">
        <v>10.63413</v>
      </c>
      <c r="G51" t="str">
        <v>Convenzionale</v>
      </c>
      <c r="H51" t="str">
        <v>CONVENZIONALE</v>
      </c>
      <c r="I51" t="str">
        <v>Sede CUED/Sistemi Informativi, Piazza Pietro Scapinelli 2</v>
      </c>
      <c r="J51" t="str">
        <v>https://www.comune.reggioemilia.it/</v>
      </c>
      <c r="K51" t="str">
        <v>Progetto digitale senza sede fisica: localizzazione convenzionale presso CUED.</v>
      </c>
      <c r="L51" t="str">
        <v>COORDINATE INSERITE</v>
      </c>
    </row>
    <row r="52">
      <c r="A52">
        <v>92</v>
      </c>
      <c r="B52" t="str">
        <v>J81C22001570006</v>
      </c>
      <c r="C52" t="str">
        <v xml:space="preserve"> 1.2 “ABILITAZIONE AL CLOUD PER LE PA LOCALI” COMUNI</v>
      </c>
      <c r="D52" t="str">
        <v>SENZA SEDE FISICA - idealmente sede CUED in P.zza Scapinelli 9</v>
      </c>
      <c r="E52">
        <v>44.69829</v>
      </c>
      <c r="F52">
        <v>10.63413</v>
      </c>
      <c r="G52" t="str">
        <v>Convenzionale</v>
      </c>
      <c r="H52" t="str">
        <v>CONVENZIONALE</v>
      </c>
      <c r="I52" t="str">
        <v>Sede CUED/Sistemi Informativi, Piazza Pietro Scapinelli 2</v>
      </c>
      <c r="J52" t="str">
        <v>https://www.comune.reggioemilia.it/</v>
      </c>
      <c r="K52" t="str">
        <v>Progetto digitale senza sede fisica: localizzazione convenzionale presso CUED.</v>
      </c>
      <c r="L52" t="str">
        <v>COORDINATE INSERITE</v>
      </c>
    </row>
    <row r="53">
      <c r="A53">
        <v>93</v>
      </c>
      <c r="B53" t="str">
        <v>J51F22004260006</v>
      </c>
      <c r="C53" t="str">
        <v xml:space="preserve"> 1.3.1 PIATTAFORMA DIGITALE NAZIONALE DATI COMUNI</v>
      </c>
      <c r="D53" t="str">
        <v>SENZA SEDE FISICA - idealmente sede CUED in P.zza Scapinelli 10</v>
      </c>
      <c r="E53">
        <v>44.69829</v>
      </c>
      <c r="F53">
        <v>10.63413</v>
      </c>
      <c r="G53" t="str">
        <v>Convenzionale</v>
      </c>
      <c r="H53" t="str">
        <v>CONVENZIONALE</v>
      </c>
      <c r="I53" t="str">
        <v>Sede CUED/Sistemi Informativi, Piazza Pietro Scapinelli 2</v>
      </c>
      <c r="J53" t="str">
        <v>https://www.comune.reggioemilia.it/</v>
      </c>
      <c r="K53" t="str">
        <v>Progetto digitale senza sede fisica: localizzazione convenzionale presso CUED.</v>
      </c>
      <c r="L53" t="str">
        <v>COORDINATE INSERITE</v>
      </c>
    </row>
    <row r="54">
      <c r="A54">
        <v>94</v>
      </c>
      <c r="B54" t="str">
        <v>J41J25001340006</v>
      </c>
      <c r="C54" t="str">
        <v>1.3.1  PIATTAFORMA DIGITALE NAZIONALE DATI ANNCSU – COMUNI</v>
      </c>
      <c r="D54" t="str">
        <v>SENZA SEDE FISICA - idealmente sede CUED in P.zza Scapinelli 11</v>
      </c>
      <c r="E54">
        <v>44.69829</v>
      </c>
      <c r="F54">
        <v>10.63413</v>
      </c>
      <c r="G54" t="str">
        <v>Convenzionale</v>
      </c>
      <c r="H54" t="str">
        <v>CONVENZIONALE</v>
      </c>
      <c r="I54" t="str">
        <v>Sede CUED/Sistemi Informativi, Piazza Pietro Scapinelli 2</v>
      </c>
      <c r="J54" t="str">
        <v>https://www.comune.reggioemilia.it/</v>
      </c>
      <c r="K54" t="str">
        <v>Progetto digitale senza sede fisica: localizzazione convenzionale presso CUED.</v>
      </c>
      <c r="L54" t="str">
        <v>COORDINATE INSERITE</v>
      </c>
    </row>
    <row r="55">
      <c r="A55">
        <v>95</v>
      </c>
      <c r="B55" t="str">
        <v>J81B24000320001</v>
      </c>
      <c r="C55" t="str">
        <v xml:space="preserve"> 1.5 “CYBERSECURITY”</v>
      </c>
      <c r="D55" t="str">
        <v>SENZA SEDE FISICA - idealmente sede CUED in P.zza Scapinelli 12</v>
      </c>
      <c r="E55">
        <v>44.69829</v>
      </c>
      <c r="F55">
        <v>10.63413</v>
      </c>
      <c r="G55" t="str">
        <v>Convenzionale</v>
      </c>
      <c r="H55" t="str">
        <v>CONVENZIONALE</v>
      </c>
      <c r="I55" t="str">
        <v>Sede CUED/Sistemi Informativi, Piazza Pietro Scapinelli 2</v>
      </c>
      <c r="J55" t="str">
        <v>https://www.comune.reggioemilia.it/</v>
      </c>
      <c r="K55" t="str">
        <v>Progetto digitale senza sede fisica: localizzazione convenzionale presso CUED.</v>
      </c>
      <c r="L55" t="str">
        <v>COORDINATE INSERITE</v>
      </c>
    </row>
    <row r="56">
      <c r="A56">
        <v>97</v>
      </c>
      <c r="B56" t="str">
        <v>J81F24000420006</v>
      </c>
      <c r="C56" t="str">
        <v>2.2.3 DIGITALIZZAZIONE DELLE PROCEDURE (SUAP &amp; SUE)</v>
      </c>
      <c r="D56" t="str">
        <v>SENZA SEDE FISICA - idealmente sede CUED in P.zza Scapinelli 14</v>
      </c>
      <c r="E56">
        <v>44.69829</v>
      </c>
      <c r="F56">
        <v>10.63413</v>
      </c>
      <c r="G56" t="str">
        <v>Convenzionale</v>
      </c>
      <c r="H56" t="str">
        <v>CONVENZIONALE</v>
      </c>
      <c r="I56" t="str">
        <v>Sede CUED/Sistemi Informativi, Piazza Pietro Scapinelli 2</v>
      </c>
      <c r="J56" t="str">
        <v>https://www.comune.reggioemilia.it/</v>
      </c>
      <c r="K56" t="str">
        <v>Progetto digitale senza sede fisica: localizzazione convenzionale presso CUED.</v>
      </c>
      <c r="L56" t="str">
        <v>COORDINATE INSERITE</v>
      </c>
    </row>
    <row r="57">
      <c r="A57">
        <v>98</v>
      </c>
      <c r="B57" t="str">
        <v>J81F26000280006</v>
      </c>
      <c r="C57" t="str">
        <v>2.2.3 DIGITALIZZAZIONE DELLE PROCEDURE SUAP 2 AVVISO</v>
      </c>
      <c r="D57" t="str">
        <v>SENZA SEDE FISICA - idealmente sede CUED in P.zza Scapinelli 15</v>
      </c>
      <c r="E57">
        <v>44.69829</v>
      </c>
      <c r="F57">
        <v>10.63413</v>
      </c>
      <c r="G57" t="str">
        <v>Convenzionale</v>
      </c>
      <c r="H57" t="str">
        <v>CONVENZIONALE</v>
      </c>
      <c r="I57" t="str">
        <v>Sede CUED/Sistemi Informativi, Piazza Pietro Scapinelli 2</v>
      </c>
      <c r="J57" t="str">
        <v>https://www.comune.reggioemilia.it/</v>
      </c>
      <c r="K57" t="str">
        <v>Progetto digitale senza sede fisica: localizzazione convenzionale presso CUED.</v>
      </c>
      <c r="L57" t="str">
        <v>COORDINATE INSERITE</v>
      </c>
    </row>
    <row r="58">
      <c r="A58">
        <v>99</v>
      </c>
      <c r="B58" t="str">
        <v xml:space="preserve">J81F26000290006 </v>
      </c>
      <c r="C58" t="str">
        <v xml:space="preserve">2.2.3. DIGITALIZZAZIONE PROCEDURE SUAP ENTI TERZI 2 AVVISO </v>
      </c>
      <c r="D58" t="str">
        <v>SENZA SEDE FISICA - idealmente sede CUED in P.zza Scapinelli 16</v>
      </c>
      <c r="E58">
        <v>44.69829</v>
      </c>
      <c r="F58">
        <v>10.63413</v>
      </c>
      <c r="G58" t="str">
        <v>Convenzionale</v>
      </c>
      <c r="H58" t="str">
        <v>CONVENZIONALE</v>
      </c>
      <c r="I58" t="str">
        <v>Sede CUED/Sistemi Informativi, Piazza Pietro Scapinelli 2</v>
      </c>
      <c r="J58" t="str">
        <v>https://www.comune.reggioemilia.it/</v>
      </c>
      <c r="K58" t="str">
        <v>Progetto digitale senza sede fisica: localizzazione convenzionale presso CUED.</v>
      </c>
      <c r="L58" t="str">
        <v>COORDINATE INSERITE</v>
      </c>
    </row>
    <row r="59">
      <c r="A59">
        <v>100</v>
      </c>
      <c r="B59" t="str">
        <v>J41F25000630006</v>
      </c>
      <c r="C59" t="str">
        <v>2.2.3. DIGITALIZZAZIONE DELLE PROCEDURE SUE</v>
      </c>
      <c r="D59" t="str">
        <v>SENZA SEDE FISICA - idealmente sede CUED in P.zza Scapinelli 17</v>
      </c>
      <c r="E59">
        <v>44.69829</v>
      </c>
      <c r="F59">
        <v>10.63413</v>
      </c>
      <c r="G59" t="str">
        <v>Convenzionale</v>
      </c>
      <c r="H59" t="str">
        <v>CONVENZIONALE</v>
      </c>
      <c r="I59" t="str">
        <v>Sede CUED/Sistemi Informativi, Piazza Pietro Scapinelli 2</v>
      </c>
      <c r="J59" t="str">
        <v>https://www.comune.reggioemilia.it/</v>
      </c>
      <c r="K59" t="str">
        <v>Progetto digitale senza sede fisica: localizzazione convenzionale presso CUED.</v>
      </c>
      <c r="L59" t="str">
        <v>COORDINATE INSERITE</v>
      </c>
    </row>
    <row r="60">
      <c r="A60">
        <v>101</v>
      </c>
      <c r="B60" t="str">
        <v>J81C26000030006</v>
      </c>
      <c r="C60" t="str">
        <v>2.3.2 INTEROPERABILITA’ SISTEMI GESTIONALI RISORSE UMANE</v>
      </c>
      <c r="D60" t="str">
        <v>SENZA SEDE FISICA - idealmente sede CUED in P.zza Scapinelli 18</v>
      </c>
      <c r="E60">
        <v>44.69829</v>
      </c>
      <c r="F60">
        <v>10.63413</v>
      </c>
      <c r="G60" t="str">
        <v>Convenzionale</v>
      </c>
      <c r="H60" t="str">
        <v>CONVENZIONALE</v>
      </c>
      <c r="I60" t="str">
        <v>Sede CUED/Sistemi Informativi, Piazza Pietro Scapinelli 2</v>
      </c>
      <c r="J60" t="str">
        <v>https://www.comune.reggioemilia.it/</v>
      </c>
      <c r="K60" t="str">
        <v>Progetto digitale senza sede fisica: localizzazione convenzionale presso CUED.</v>
      </c>
      <c r="L60" t="str">
        <v>COORDINATE INSERITE</v>
      </c>
    </row>
    <row r="61">
      <c r="A61">
        <v>103</v>
      </c>
      <c r="B61" t="str">
        <v>J81F25000400006</v>
      </c>
      <c r="C61" t="str">
        <v>2.2.3 DIGITALIZZAZIONE DELLE PROCEDURE (SUAP &amp; SUE) 2025</v>
      </c>
      <c r="E61">
        <v>44.69829</v>
      </c>
      <c r="F61">
        <v>10.63413</v>
      </c>
      <c r="G61" t="str">
        <v>Convenzionale</v>
      </c>
      <c r="H61" t="str">
        <v>CONVENZIONALE</v>
      </c>
      <c r="I61" t="str">
        <v>Sede CUED/Sistemi Informativi, Piazza Pietro Scapinelli 2</v>
      </c>
      <c r="J61" t="str">
        <v>https://www.comune.reggioemilia.it/</v>
      </c>
      <c r="K61" t="str">
        <v>Progetto SUAP/SUE digitale: sede convenzionale CUED, non sede fisica del progetto.</v>
      </c>
      <c r="L61" t="str">
        <v>COORDINATE INSERITE</v>
      </c>
    </row>
    <row r="62">
      <c r="A62">
        <v>105</v>
      </c>
      <c r="B62" t="str">
        <v>H80J22000000001</v>
      </c>
      <c r="C62" t="str">
        <v>Rinnovo parco autobus regionale per il trasposto pubblico con veicoli a combustibili</v>
      </c>
      <c r="D62" t="str">
        <v xml:space="preserve">SETA a Reggio Emilia: Via del Chionso 50, 42122 Reggio Emilia </v>
      </c>
      <c r="E62">
        <v>44.7045</v>
      </c>
      <c r="F62">
        <v>10.65982</v>
      </c>
      <c r="G62" t="str">
        <v>Puntuale</v>
      </c>
      <c r="H62" t="str">
        <v>ALTA</v>
      </c>
      <c r="I62" t="str">
        <v>SETA, Via del Chionso 50</v>
      </c>
      <c r="J62" t="str">
        <v>https://www.reteimprese.it/</v>
      </c>
      <c r="K62" t="str">
        <v>Coordinate della sede/impianto SETA.</v>
      </c>
      <c r="L62" t="str">
        <v>COORDINATE INSERITE</v>
      </c>
    </row>
    <row r="63">
      <c r="A63">
        <v>107</v>
      </c>
      <c r="B63" t="str">
        <v>J87H21000950005</v>
      </c>
      <c r="C63" t="str">
        <v>PNRR-M5C2-I2.3 PINQUA - Economia, lavoro e innovazione</v>
      </c>
      <c r="D63" t="str">
        <v xml:space="preserve">PIAZZALE EUROPA A REGGIO EMILIA, SNC (ANCORA SENZA NUMERO CIVICO) </v>
      </c>
      <c r="E63">
        <v>44.6995</v>
      </c>
      <c r="F63">
        <v>10.6426</v>
      </c>
      <c r="G63" t="str">
        <v>Rappresentativo area</v>
      </c>
      <c r="H63" t="str">
        <v>ALTA</v>
      </c>
      <c r="I63" t="str">
        <v>Piazzale Europa</v>
      </c>
      <c r="J63" t="str">
        <v>https://www.distancesfrom.com/it/Piazzale-Europa-latitude-longitude-Piazzale-Europa-latitude-Piazzale-Europa-longitude/LatLongHistory/14034637.aspx</v>
      </c>
      <c r="K63" t="str">
        <v>Punto rappresentativo del Piazzale Europa.</v>
      </c>
      <c r="L63" t="str">
        <v>COORDINATE INSERITE</v>
      </c>
    </row>
    <row r="64">
      <c r="A64">
        <v>116</v>
      </c>
      <c r="B64" t="str">
        <v>J84F22000430001</v>
      </c>
      <c r="C64" t="str">
        <v>PNRR-M5C2-I1.2 Percorsi di autonomia per persone con disabilità (Progetto Comune di Reggio) - (attività di PARTE CORRENTE - progetti individualizzati, formazione/lavoro)</v>
      </c>
      <c r="E64">
        <v>44.70975</v>
      </c>
      <c r="F64">
        <v>10.60827</v>
      </c>
      <c r="G64" t="str">
        <v>Propagata per CUP</v>
      </c>
      <c r="H64" t="str">
        <v>MEDIA</v>
      </c>
      <c r="I64" t="str">
        <v>Stesso CUP della riga 50; progetto multisito</v>
      </c>
      <c r="J64" t="str">
        <v>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v>
      </c>
      <c r="K64" t="str">
        <v>Attivita corrente collegata allo stesso CUP; marker rappresentativo Via Brigata Reggio 30.</v>
      </c>
      <c r="L64" t="str">
        <v>COORDINATE INSERITE</v>
      </c>
    </row>
    <row r="65">
      <c r="A65">
        <v>120</v>
      </c>
      <c r="B65" t="str">
        <v>J84H22000690001</v>
      </c>
      <c r="C65" t="str">
        <v>PNRR-M5C2-I1.3 Povertà estrema – Housing first (attività di PARTE CORRENTE)</v>
      </c>
      <c r="E65">
        <v>44.6982</v>
      </c>
      <c r="F65">
        <v>10.6178</v>
      </c>
      <c r="G65" t="str">
        <v>Propagata per CUP</v>
      </c>
      <c r="H65" t="str">
        <v>BASSA</v>
      </c>
      <c r="I65" t="str">
        <v>Stesso CUP della riga 52, immobile Via Dalmazia 85</v>
      </c>
      <c r="J65" t="str">
        <v>https://www.blia.it/in/96982-46178</v>
      </c>
      <c r="K65" t="str">
        <v>Attivita corrente collegata al progetto fisico della riga 52.</v>
      </c>
      <c r="L65" t="str">
        <v>COORDINATE INSERITE</v>
      </c>
    </row>
    <row r="66">
      <c r="A66">
        <v>121</v>
      </c>
      <c r="B66" t="str">
        <v>J84H22000710001</v>
      </c>
      <c r="C66" t="str">
        <v>PNRR-M5C2-I1.3 Povertà estrema – Stazioni di Posta/Centri servizi (attività di PARTE CORRENTE)</v>
      </c>
      <c r="E66">
        <v>44.709</v>
      </c>
      <c r="F66">
        <v>10.6087</v>
      </c>
      <c r="G66" t="str">
        <v>Propagata per CUP</v>
      </c>
      <c r="H66" t="str">
        <v>MEDIA</v>
      </c>
      <c r="I66" t="str">
        <v>Stesso CUP della riga 53, Via Kennedy 15-17</v>
      </c>
      <c r="J66" t="str">
        <v>https://www.italiamappe.it/stradario/reggio-nell%27emilia/via-john-fitzgerald-kennedy/</v>
      </c>
      <c r="K66" t="str">
        <v>Attivita corrente collegata al progetto fisico della riga 53.</v>
      </c>
      <c r="L66" t="str">
        <v>COORDINATE INSERITE</v>
      </c>
    </row>
    <row r="67">
      <c r="A67">
        <v>49</v>
      </c>
      <c r="B67" t="str">
        <v>J84H22001000001</v>
      </c>
      <c r="C67" t="str">
        <v>PNRR-M5C2-I1.1.2 Riconversione e riqualificazione di residenze e adeguamento tecnologia domotica innovativa per spazi abitativi per anziani non autosufficienti (soggetto esecutore ACER)</v>
      </c>
      <c r="D67" t="str">
        <v xml:space="preserve">COMUNE DI REGGIO EMILIA </v>
      </c>
      <c r="G67" t="str">
        <v>NON GEOLOCALIZZATO</v>
      </c>
      <c r="H67" t="str">
        <v>N/A</v>
      </c>
      <c r="I67" t="str">
        <v>Nessuna coordinata inserita per evitare rappresentazioni fuorvianti</v>
      </c>
      <c r="K67" t="str">
        <v>Intervento su residenze/alloggi diffusi; nessun singolo indirizzo univoco nella tabella.</v>
      </c>
      <c r="L67" t="str">
        <v>LASCIATO VUOTO</v>
      </c>
    </row>
    <row r="68">
      <c r="A68">
        <v>51</v>
      </c>
      <c r="B68" t="str">
        <v>J54F22000990001</v>
      </c>
      <c r="C68" t="str">
        <v>PNRR-M5C2-I1.2 Realizzazione di abitazioni per gruppi di persone con disabilità e predisposizione di strumenti e tecnologie di domotica e interazione a distanza presso l’immobile di Quattro Castella (Montecavolo) (Progetto Comune di Quattro Castella) (trasferimento a Unione Colline Matildiche)</v>
      </c>
      <c r="D68" t="str">
        <v xml:space="preserve">VIA P.NENNI - MONTECAVOLO - QUATTRO CASTELLA (RE) </v>
      </c>
      <c r="G68" t="str">
        <v>FUORI PERIMETRO</v>
      </c>
      <c r="H68" t="str">
        <v>N/A</v>
      </c>
      <c r="I68" t="str">
        <v>Nessuna coordinata inserita per evitare rappresentazioni fuorvianti</v>
      </c>
      <c r="K68" t="str">
        <v>Immobile a Montecavolo, Comune di Quattro Castella: fuori dal perimetro comunale di Reggio Emilia.</v>
      </c>
      <c r="L68" t="str">
        <v>LASCIATO VUOTO</v>
      </c>
    </row>
    <row r="69">
      <c r="A69">
        <v>77</v>
      </c>
      <c r="B69" t="str">
        <v>J89J21004270001</v>
      </c>
      <c r="C69" t="str">
        <v>PNRR-M2C4-I2.2 Lavori di efficientamento energetico per l'illuminazione pubblica (2021)</v>
      </c>
      <c r="D69" t="str">
        <v>varie vie</v>
      </c>
      <c r="G69" t="str">
        <v>INTERVENTO DIFFUSO</v>
      </c>
      <c r="H69" t="str">
        <v>N/A</v>
      </c>
      <c r="I69" t="str">
        <v>Nessuna coordinata inserita per evitare rappresentazioni fuorvianti</v>
      </c>
      <c r="K69" t="str">
        <v>Illuminazione pubblica su varie vie: un singolo marker sarebbe fuorviante.</v>
      </c>
      <c r="L69" t="str">
        <v>LASCIATO VUOTO</v>
      </c>
    </row>
    <row r="70" xml:space="preserve">
      <c r="A70">
        <v>78</v>
      </c>
      <c r="B70" t="str">
        <v>J89J21006970001</v>
      </c>
      <c r="C70" t="str">
        <v>PNRR-M2C4-I2.2 Interventi su impianti di pubblica illuminazione ex Enel Sole: acquisizione e efficientamento energetico (2021)</v>
      </c>
      <c r="D70" t="str" xml:space="preserve">
        <v xml:space="preserve">varie vie: I lavori saranno esegui* nel Comune di Reggio Emilia nelle seguen* vie:
Via Foscato Via Asiago Via Tassoni Via Terrachini Via Malaguzzi Via Podgora
Via Debeli Via Vigarani Via AicardiVia Borciani Via Livi Via Caselli Via Corti</v>
      </c>
      <c r="G70" t="str">
        <v>INTERVENTO DIFFUSO</v>
      </c>
      <c r="H70" t="str">
        <v>N/A</v>
      </c>
      <c r="I70" t="str">
        <v>Nessuna coordinata inserita per evitare rappresentazioni fuorvianti</v>
      </c>
      <c r="K70" t="str">
        <v>Impianti di illuminazione su molte vie: preferibile layer multi-point/lineare.</v>
      </c>
      <c r="L70" t="str">
        <v>LASCIATO VUOTO</v>
      </c>
    </row>
    <row r="71">
      <c r="A71">
        <v>79</v>
      </c>
      <c r="B71" t="str">
        <v>J86I22000110002</v>
      </c>
      <c r="C71" t="str">
        <v>PNRR-M2C4-I2.2 Riqualificazione ed efficientamento degli impianti di illuminazione di attraversamenti pedonali e contestuale riqualificazione ai fini della sicurezza stradale e mobilità sostenibile</v>
      </c>
      <c r="D71" t="str">
        <v>varie vie: L'intervento interesserà in tutto 15 attraversamenti pedonali distribuiti lungo arterie di grande traffico della città:N° 5 in viale Timavo, N° 3 in viale dei Mille, N° 3 in viale Piave, N° 2 in via Vico, N° 1 in via Newton, N° 1 in via G. Bruno.</v>
      </c>
      <c r="G71" t="str">
        <v>INTERVENTO DIFFUSO</v>
      </c>
      <c r="H71" t="str">
        <v>N/A</v>
      </c>
      <c r="I71" t="str">
        <v>Nessuna coordinata inserita per evitare rappresentazioni fuorvianti</v>
      </c>
      <c r="K71" t="str">
        <v>15 attraversamenti pedonali distribuiti su piu arterie: preferibile layer multi-point.</v>
      </c>
      <c r="L71" t="str">
        <v>LASCIATO VUOTO</v>
      </c>
    </row>
    <row r="72">
      <c r="A72">
        <v>96</v>
      </c>
      <c r="B72" t="str">
        <v>J89E23000040006</v>
      </c>
      <c r="C72" t="str">
        <v>1.7.2 DIGITALE FACILE IN EMILIA ROMAGNA_CENTRI DI FACILITAZIONE DIGITALE</v>
      </c>
      <c r="D72" t="str">
        <v>SEDI VARIE DEI CENTRI DI FACILITAZIONE DIGITALE</v>
      </c>
      <c r="G72" t="str">
        <v>INTERVENTO MULTI-SEDE</v>
      </c>
      <c r="H72" t="str">
        <v>N/A</v>
      </c>
      <c r="I72" t="str">
        <v>Nessuna coordinata inserita per evitare rappresentazioni fuorvianti</v>
      </c>
      <c r="K72" t="str">
        <v>Centri di facilitazione digitale su sedi diverse; non esiste una coordinata unica.</v>
      </c>
      <c r="L72" t="str">
        <v>LASCIATO VUOTO</v>
      </c>
    </row>
    <row r="73">
      <c r="A73">
        <v>110</v>
      </c>
      <c r="B73" t="str">
        <v>J84H22000170001</v>
      </c>
      <c r="C73" t="str">
        <v>PNRR-M5C2-I1.1.1 Sostegno alle capacità genitoriali e prevenzione della vulnerabilità delle famiglie e dei bambini (PIPPI) (attività di PARTE CORRENTE)</v>
      </c>
      <c r="G73" t="str">
        <v>SERVIZIO SENZA SEDE UNICA</v>
      </c>
      <c r="H73" t="str">
        <v>N/A</v>
      </c>
      <c r="I73" t="str">
        <v>Nessuna coordinata inserita per evitare rappresentazioni fuorvianti</v>
      </c>
      <c r="K73" t="str">
        <v>Attivita di parte corrente PIPPI; non associabile correttamente a un singolo punto fisico.</v>
      </c>
      <c r="L73" t="str">
        <v>LASCIATO VUOTO</v>
      </c>
    </row>
    <row r="74">
      <c r="A74">
        <v>111</v>
      </c>
      <c r="B74" t="str">
        <v>J84H22001000001</v>
      </c>
      <c r="C74" t="str">
        <v>PNRR-M5C2-I1.1.2 Assistenza domiciliare integrata (quota sociale) in alloggi per anziani non autosufficienti (attività di PARTE CORRENTE)</v>
      </c>
      <c r="G74" t="str">
        <v>SERVIZIO/ALLOGGI DIFFUSI</v>
      </c>
      <c r="H74" t="str">
        <v>N/A</v>
      </c>
      <c r="I74" t="str">
        <v>Nessuna coordinata inserita per evitare rappresentazioni fuorvianti</v>
      </c>
      <c r="K74" t="str">
        <v>Parte corrente collegata a intervento su alloggi diffusi; nessun punto unico.</v>
      </c>
      <c r="L74" t="str">
        <v>LASCIATO VUOTO</v>
      </c>
    </row>
    <row r="75">
      <c r="A75">
        <v>112</v>
      </c>
      <c r="B75" t="str">
        <v>J89G22000030001</v>
      </c>
      <c r="C75" t="str">
        <v xml:space="preserve">PNRR-M5C2-I1.1.3 Rafforzamento dei servizi sociali domiciliari per garantire la dimissione anticipata assistita e prevenire l’ospedalizzazione (attività di PARTE CORRENTE) </v>
      </c>
      <c r="G75" t="str">
        <v>SERVIZIO SENZA SEDE UNICA</v>
      </c>
      <c r="H75" t="str">
        <v>N/A</v>
      </c>
      <c r="I75" t="str">
        <v>Nessuna coordinata inserita per evitare rappresentazioni fuorvianti</v>
      </c>
      <c r="K75" t="str">
        <v>Servizio sociale domiciliare; non associabile correttamente a un singolo punto fisico.</v>
      </c>
      <c r="L75" t="str">
        <v>LASCIATO VUOTO</v>
      </c>
    </row>
    <row r="76">
      <c r="A76">
        <v>113</v>
      </c>
      <c r="B76" t="str">
        <v>J84I22000010001</v>
      </c>
      <c r="C76" t="str">
        <v>PNRR-M5C2-I1.1.4 Rafforzamento dei servizi sociali e prevenzione del fenomeno del burn out tra gli operatori (attività di PARTE CORRENTE)</v>
      </c>
      <c r="G76" t="str">
        <v>SERVIZIO SENZA SEDE UNICA</v>
      </c>
      <c r="H76" t="str">
        <v>N/A</v>
      </c>
      <c r="I76" t="str">
        <v>Nessuna coordinata inserita per evitare rappresentazioni fuorvianti</v>
      </c>
      <c r="K76" t="str">
        <v>Attivita organizzativa/formativa contro burn-out; nessuna sede fisica di progetto univoca.</v>
      </c>
      <c r="L76" t="str">
        <v>LASCIATO VUOTO</v>
      </c>
    </row>
    <row r="77">
      <c r="A77">
        <v>117</v>
      </c>
      <c r="B77" t="str">
        <v>J54F22000990001</v>
      </c>
      <c r="C77" t="str">
        <v>PNRR-M5C2-I1.2 Percorsi di autonomia per persone con disabilità (Progetto Comune di Quattro Castella) (attività di PARTE CORRENTE - progetti individualizzati, formazione/lavoro) (trasferimento a Unione Colline Matildiche)</v>
      </c>
      <c r="G77" t="str">
        <v>FUORI PERIMETRO</v>
      </c>
      <c r="H77" t="str">
        <v>N/A</v>
      </c>
      <c r="I77" t="str">
        <v>Nessuna coordinata inserita per evitare rappresentazioni fuorvianti</v>
      </c>
      <c r="K77" t="str">
        <v>Progetto del Comune di Quattro Castella / Montecavolo, fuori dal perimetro comunale di Reggio Emilia.</v>
      </c>
      <c r="L77" t="str">
        <v>LASCIATO VUOTO</v>
      </c>
    </row>
    <row r="78">
      <c r="A78">
        <v>109</v>
      </c>
      <c r="B78" t="str">
        <v>M5C2 – I1.1</v>
      </c>
      <c r="C78" t="str">
        <v xml:space="preserve">SOSTEGNO ALLE PERSONE  VULNERABILI E PREVENZIONE DELL'ISTITUZIONALIZZAZIONE DEGLI ANZIANI NON AUTOSUFFICIENTI </v>
      </c>
      <c r="G78" t="str">
        <v>NON PROGETTO</v>
      </c>
      <c r="H78" t="str">
        <v>N/A</v>
      </c>
      <c r="I78" t="str">
        <v>Riga di intestazione/classificazione</v>
      </c>
      <c r="K78" t="str">
        <v>Riga intestazione misura, non progetto CUP</v>
      </c>
      <c r="L78" t="str">
        <v>LASCIATO VUOTO</v>
      </c>
    </row>
    <row r="79">
      <c r="A79">
        <v>115</v>
      </c>
      <c r="B79" t="str">
        <v>M5C2 – I1.2</v>
      </c>
      <c r="C79" t="str">
        <v>PERCORSI DI AUTONOMIA PER PERSONE CON DISABILITÀ</v>
      </c>
      <c r="G79" t="str">
        <v>NON PROGETTO</v>
      </c>
      <c r="H79" t="str">
        <v>N/A</v>
      </c>
      <c r="I79" t="str">
        <v>Riga di intestazione/classificazione</v>
      </c>
      <c r="K79" t="str">
        <v>Riga intestazione misura, non progetto CUP</v>
      </c>
      <c r="L79" t="str">
        <v>LASCIATO VUOTO</v>
      </c>
    </row>
    <row r="80">
      <c r="A80">
        <v>119</v>
      </c>
      <c r="B80" t="str">
        <v>M5C2 – I1.3</v>
      </c>
      <c r="C80" t="str">
        <v>HOUSING TEMPORANEO E STAZIONI DI POSTA PER LE PERSONE SENZA DIMORA</v>
      </c>
      <c r="G80" t="str">
        <v>NON PROGETTO</v>
      </c>
      <c r="H80" t="str">
        <v>N/A</v>
      </c>
      <c r="I80" t="str">
        <v>Riga di intestazione/classificazione</v>
      </c>
      <c r="K80" t="str">
        <v>Riga intestazione misura, non progetto CUP</v>
      </c>
      <c r="L80" t="str">
        <v>LASCIATO VUOTO</v>
      </c>
    </row>
    <row r="82">
      <c r="A82" t="str">
        <v>LEGENDA</v>
      </c>
    </row>
    <row r="83">
      <c r="A83" t="str">
        <v>ALTA</v>
      </c>
      <c r="B83" t="str">
        <v>POI/edificio/area con coordinata direttamente disponibile o fortemente corroborata.</v>
      </c>
    </row>
    <row r="84">
      <c r="A84" t="str">
        <v>MEDIA</v>
      </c>
      <c r="B84" t="str">
        <v>Indirizzo certo ma coordinata rappresentativa di via/area o ricostruita da riferimenti cartografici vicini.</v>
      </c>
    </row>
    <row r="85">
      <c r="A85" t="str">
        <v>BASSA</v>
      </c>
      <c r="B85" t="str">
        <v>Punto rappresentativo/centroide per opera lineare, diffusa o con precisione limitata.</v>
      </c>
    </row>
    <row r="86">
      <c r="A86" t="str">
        <v>CONVENZIONALE</v>
      </c>
      <c r="B86" t="str">
        <v>Progetto senza sede fisica posizionato per esigenze di visualizzazione presso la sede CUED; non indica luogo di esecuzione.</v>
      </c>
    </row>
    <row r="87">
      <c r="A87">
        <v>9</v>
      </c>
      <c r="B87" t="str">
        <v>J87H21003260001</v>
      </c>
      <c r="C87" t="str">
        <v>Piazza del Popol Giost</v>
      </c>
      <c r="D87" t="str">
        <v>Piazza del Popol Giost</v>
      </c>
      <c r="E87">
        <v>44.6997</v>
      </c>
      <c r="F87">
        <v>10.6358</v>
      </c>
      <c r="G87" t="str">
        <v>PUNTO</v>
      </c>
      <c r="H87" t="str">
        <v>ALTA</v>
      </c>
      <c r="I87" t="str">
        <v>Coordinate verificate Comune RE (Ottobre 2026)</v>
      </c>
    </row>
    <row r="88">
      <c r="A88">
        <v>60</v>
      </c>
      <c r="B88" t="str">
        <v>J88I22000400002</v>
      </c>
      <c r="C88" t="str">
        <v>Torre B del Giglio - CPI</v>
      </c>
      <c r="D88" t="str">
        <v>Torre B del Giglio - CPI</v>
      </c>
      <c r="E88">
        <v>44.7138</v>
      </c>
      <c r="F88">
        <v>10.6481</v>
      </c>
      <c r="G88" t="str">
        <v>PUNTO</v>
      </c>
      <c r="H88" t="str">
        <v>ALTA</v>
      </c>
      <c r="I88" t="str">
        <v>Coordinate verificate Comune RE (Ottobre 2026)</v>
      </c>
    </row>
    <row r="89">
      <c r="A89">
        <v>28</v>
      </c>
      <c r="B89" t="str">
        <v>J83D22000210006</v>
      </c>
      <c r="C89" t="str">
        <v>SP Valeriani Cadè - Nuova mensa</v>
      </c>
      <c r="D89" t="str">
        <v>SP Valeriani Cadè - Nuova mensa</v>
      </c>
      <c r="E89">
        <v>44.7176</v>
      </c>
      <c r="F89">
        <v>10.5342</v>
      </c>
      <c r="G89" t="str">
        <v>PUNTO</v>
      </c>
      <c r="H89" t="str">
        <v>ALTA</v>
      </c>
      <c r="I89" t="str">
        <v>Coordinate verificate Comune RE (Ottobre 2026)</v>
      </c>
    </row>
  </sheetData>
  <autoFilter ref="A1:L80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</hyperlinks>
  <pageMargins left="0.75" right="0.75" top="1" bottom="1" header="0.5" footer="0.5"/>
  <ignoredErrors>
    <ignoredError numberStoredAsText="1" sqref="A1:L8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3.1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KPI Trasferimenti</vt:lpstr>
      <vt:lpstr>Monitoraggio PNRR</vt:lpstr>
      <vt:lpstr>coordinate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2026-09-26T07:09:25Z</dcterms:created>
  <dcterms:modified xsi:type="dcterms:W3CDTF">2026-10-15T07:27:41Z</dcterms:modified>
  <cp:lastModifiedBy>Davolio Raffaele</cp:lastModifiedBy>
  <dc:creator>Davolio Raffaele</dc:creator>
</cp:coreProperties>
</file>